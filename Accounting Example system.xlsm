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f412f48132263d2/Documents/"/>
    </mc:Choice>
  </mc:AlternateContent>
  <xr:revisionPtr revIDLastSave="0" documentId="8_{40F7B59B-8B13-452F-B672-79ACD9A93004}" xr6:coauthVersionLast="47" xr6:coauthVersionMax="47" xr10:uidLastSave="{00000000-0000-0000-0000-000000000000}"/>
  <bookViews>
    <workbookView xWindow="-120" yWindow="-120" windowWidth="20730" windowHeight="11040" activeTab="4" xr2:uid="{00000000-000D-0000-FFFF-FFFF00000000}"/>
  </bookViews>
  <sheets>
    <sheet name="HOME" sheetId="1" r:id="rId1"/>
    <sheet name="purchies return" sheetId="6" r:id="rId2"/>
    <sheet name="expire and damage" sheetId="7" r:id="rId3"/>
    <sheet name="return sell" sheetId="8" r:id="rId4"/>
    <sheet name="report customer" sheetId="9" r:id="rId5"/>
    <sheet name="sell" sheetId="5" r:id="rId6"/>
    <sheet name="Suppler name" sheetId="3" r:id="rId7"/>
    <sheet name="custmer name" sheetId="4" r:id="rId8"/>
    <sheet name="ITEM NAME" sheetId="2" r:id="rId9"/>
  </sheets>
  <definedNames>
    <definedName name="_xlnm._FilterDatabase" localSheetId="5" hidden="1">sell!$A$5:$M$1300</definedName>
    <definedName name="_xlnm.Criteria" localSheetId="4">'report customer'!$C$2:$D$3</definedName>
    <definedName name="_xlnm.Extract" localSheetId="4">'report customer'!$A$5:$M$5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9" l="1"/>
  <c r="I18" i="8"/>
  <c r="F18" i="8"/>
  <c r="D18" i="8"/>
  <c r="I17" i="8"/>
  <c r="F17" i="8"/>
  <c r="D17" i="8"/>
  <c r="L16" i="8"/>
  <c r="K16" i="8" s="1"/>
  <c r="I16" i="8"/>
  <c r="F16" i="8"/>
  <c r="D16" i="8"/>
  <c r="L15" i="8"/>
  <c r="M15" i="8" s="1"/>
  <c r="I15" i="8"/>
  <c r="F15" i="8"/>
  <c r="D15" i="8"/>
  <c r="M14" i="8"/>
  <c r="L14" i="8"/>
  <c r="K14" i="8" s="1"/>
  <c r="I14" i="8"/>
  <c r="F14" i="8"/>
  <c r="D14" i="8"/>
  <c r="L13" i="8"/>
  <c r="M13" i="8" s="1"/>
  <c r="K13" i="8"/>
  <c r="I13" i="8"/>
  <c r="F13" i="8"/>
  <c r="D13" i="8"/>
  <c r="L12" i="8"/>
  <c r="K12" i="8" s="1"/>
  <c r="I12" i="8"/>
  <c r="F12" i="8"/>
  <c r="D12" i="8"/>
  <c r="L11" i="8"/>
  <c r="M11" i="8" s="1"/>
  <c r="I11" i="8"/>
  <c r="F11" i="8"/>
  <c r="D11" i="8"/>
  <c r="L10" i="8"/>
  <c r="K10" i="8" s="1"/>
  <c r="I10" i="8"/>
  <c r="F10" i="8"/>
  <c r="D10" i="8"/>
  <c r="L9" i="8"/>
  <c r="M9" i="8" s="1"/>
  <c r="K9" i="8"/>
  <c r="I9" i="8"/>
  <c r="F9" i="8"/>
  <c r="D9" i="8"/>
  <c r="L8" i="8"/>
  <c r="K8" i="8" s="1"/>
  <c r="I8" i="8"/>
  <c r="F8" i="8"/>
  <c r="D8" i="8"/>
  <c r="L7" i="8"/>
  <c r="M7" i="8" s="1"/>
  <c r="I7" i="8"/>
  <c r="F7" i="8"/>
  <c r="D7" i="8"/>
  <c r="L6" i="8"/>
  <c r="K6" i="8" s="1"/>
  <c r="I6" i="8"/>
  <c r="F6" i="8"/>
  <c r="D6" i="8"/>
  <c r="D7" i="5"/>
  <c r="D8" i="5"/>
  <c r="D9" i="5"/>
  <c r="D6" i="5"/>
  <c r="I18" i="7"/>
  <c r="F18" i="7"/>
  <c r="D18" i="7"/>
  <c r="I17" i="7"/>
  <c r="F17" i="7"/>
  <c r="D17" i="7"/>
  <c r="L16" i="7"/>
  <c r="K16" i="7" s="1"/>
  <c r="I16" i="7"/>
  <c r="F16" i="7"/>
  <c r="D16" i="7"/>
  <c r="L15" i="7"/>
  <c r="M15" i="7" s="1"/>
  <c r="I15" i="7"/>
  <c r="F15" i="7"/>
  <c r="D15" i="7"/>
  <c r="L14" i="7"/>
  <c r="I14" i="7"/>
  <c r="F14" i="7"/>
  <c r="D14" i="7"/>
  <c r="L13" i="7"/>
  <c r="M13" i="7" s="1"/>
  <c r="I13" i="7"/>
  <c r="F13" i="7"/>
  <c r="D13" i="7"/>
  <c r="L12" i="7"/>
  <c r="K12" i="7" s="1"/>
  <c r="I12" i="7"/>
  <c r="F12" i="7"/>
  <c r="D12" i="7"/>
  <c r="L11" i="7"/>
  <c r="K11" i="7" s="1"/>
  <c r="I11" i="7"/>
  <c r="F11" i="7"/>
  <c r="D11" i="7"/>
  <c r="L10" i="7"/>
  <c r="I10" i="7"/>
  <c r="F10" i="7"/>
  <c r="D10" i="7"/>
  <c r="L9" i="7"/>
  <c r="M9" i="7" s="1"/>
  <c r="I9" i="7"/>
  <c r="F9" i="7"/>
  <c r="K13" i="7" s="1"/>
  <c r="D9" i="7"/>
  <c r="L8" i="7"/>
  <c r="K8" i="7" s="1"/>
  <c r="I8" i="7"/>
  <c r="F8" i="7"/>
  <c r="D8" i="7"/>
  <c r="M7" i="7"/>
  <c r="L7" i="7"/>
  <c r="K7" i="7" s="1"/>
  <c r="I7" i="7"/>
  <c r="F7" i="7"/>
  <c r="D7" i="7"/>
  <c r="M6" i="7"/>
  <c r="L6" i="7"/>
  <c r="K6" i="7"/>
  <c r="I6" i="7"/>
  <c r="F6" i="7"/>
  <c r="D6" i="7"/>
  <c r="I18" i="6"/>
  <c r="F18" i="6"/>
  <c r="D18" i="6"/>
  <c r="I17" i="6"/>
  <c r="F17" i="6"/>
  <c r="D17" i="6"/>
  <c r="L16" i="6"/>
  <c r="K16" i="6" s="1"/>
  <c r="I16" i="6"/>
  <c r="F16" i="6"/>
  <c r="D16" i="6"/>
  <c r="L15" i="6"/>
  <c r="M15" i="6" s="1"/>
  <c r="I15" i="6"/>
  <c r="F15" i="6"/>
  <c r="D15" i="6"/>
  <c r="L14" i="6"/>
  <c r="I14" i="6"/>
  <c r="F14" i="6"/>
  <c r="D14" i="6"/>
  <c r="L13" i="6"/>
  <c r="I13" i="6"/>
  <c r="F13" i="6"/>
  <c r="D13" i="6"/>
  <c r="L12" i="6"/>
  <c r="M12" i="6" s="1"/>
  <c r="I12" i="6"/>
  <c r="F12" i="6"/>
  <c r="D12" i="6"/>
  <c r="L11" i="6"/>
  <c r="M11" i="6" s="1"/>
  <c r="I11" i="6"/>
  <c r="F11" i="6"/>
  <c r="D11" i="6"/>
  <c r="L10" i="6"/>
  <c r="I10" i="6"/>
  <c r="F10" i="6"/>
  <c r="D10" i="6"/>
  <c r="L9" i="6"/>
  <c r="I9" i="6"/>
  <c r="F9" i="6"/>
  <c r="D9" i="6"/>
  <c r="L8" i="6"/>
  <c r="M8" i="6" s="1"/>
  <c r="K8" i="6"/>
  <c r="I8" i="6"/>
  <c r="F8" i="6"/>
  <c r="K9" i="6" s="1"/>
  <c r="D8" i="6"/>
  <c r="L7" i="6"/>
  <c r="M7" i="6" s="1"/>
  <c r="I7" i="6"/>
  <c r="F7" i="6"/>
  <c r="M13" i="6" s="1"/>
  <c r="D7" i="6"/>
  <c r="M6" i="6"/>
  <c r="L6" i="6"/>
  <c r="K6" i="6"/>
  <c r="I6" i="6"/>
  <c r="F6" i="6"/>
  <c r="D6" i="6"/>
  <c r="L6" i="5"/>
  <c r="L7" i="5"/>
  <c r="L8" i="5"/>
  <c r="L9" i="5"/>
  <c r="L10" i="5"/>
  <c r="L11" i="5"/>
  <c r="L12" i="5"/>
  <c r="L13" i="5"/>
  <c r="L14" i="5"/>
  <c r="L15" i="5"/>
  <c r="L16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F6" i="5"/>
  <c r="F7" i="5"/>
  <c r="K7" i="5" s="1"/>
  <c r="F8" i="5"/>
  <c r="F9" i="5"/>
  <c r="F10" i="5"/>
  <c r="F11" i="5"/>
  <c r="F12" i="5"/>
  <c r="F13" i="5"/>
  <c r="F14" i="5"/>
  <c r="F15" i="5"/>
  <c r="F16" i="5"/>
  <c r="F17" i="5"/>
  <c r="F18" i="5"/>
  <c r="D10" i="5"/>
  <c r="D11" i="5"/>
  <c r="D12" i="5"/>
  <c r="D13" i="5"/>
  <c r="D14" i="5"/>
  <c r="D15" i="5"/>
  <c r="D16" i="5"/>
  <c r="D17" i="5"/>
  <c r="D18" i="5"/>
  <c r="M6" i="8" l="1"/>
  <c r="K7" i="8"/>
  <c r="M8" i="8"/>
  <c r="K11" i="8"/>
  <c r="M12" i="8"/>
  <c r="K15" i="8"/>
  <c r="M16" i="8"/>
  <c r="M10" i="8"/>
  <c r="M8" i="7"/>
  <c r="M12" i="7"/>
  <c r="K15" i="7"/>
  <c r="M16" i="7"/>
  <c r="K9" i="7"/>
  <c r="K14" i="7"/>
  <c r="K10" i="7"/>
  <c r="M11" i="7"/>
  <c r="M14" i="7"/>
  <c r="M10" i="7"/>
  <c r="M10" i="6"/>
  <c r="M9" i="6"/>
  <c r="K7" i="6"/>
  <c r="K11" i="6"/>
  <c r="K15" i="6"/>
  <c r="M16" i="6"/>
  <c r="K14" i="6"/>
  <c r="K10" i="6"/>
  <c r="K13" i="6"/>
  <c r="M14" i="6"/>
  <c r="K12" i="6"/>
  <c r="M15" i="5"/>
  <c r="M11" i="5"/>
  <c r="M14" i="5"/>
  <c r="M10" i="5"/>
  <c r="M6" i="5"/>
  <c r="M13" i="5"/>
  <c r="M9" i="5"/>
  <c r="M12" i="5"/>
  <c r="M8" i="5"/>
  <c r="M16" i="5"/>
  <c r="M7" i="5"/>
  <c r="K14" i="5"/>
  <c r="K10" i="5"/>
  <c r="K6" i="5"/>
  <c r="K13" i="5"/>
  <c r="K9" i="5"/>
  <c r="K16" i="5"/>
  <c r="K12" i="5"/>
  <c r="K8" i="5"/>
  <c r="K15" i="5"/>
  <c r="K11" i="5"/>
</calcChain>
</file>

<file path=xl/sharedStrings.xml><?xml version="1.0" encoding="utf-8"?>
<sst xmlns="http://schemas.openxmlformats.org/spreadsheetml/2006/main" count="78" uniqueCount="23">
  <si>
    <t>كود</t>
  </si>
  <si>
    <t>اسم المواد</t>
  </si>
  <si>
    <t>اسم الموردون</t>
  </si>
  <si>
    <t>اسم العملاء</t>
  </si>
  <si>
    <t>ژ/پسوڵە</t>
  </si>
  <si>
    <t>بەروار</t>
  </si>
  <si>
    <t>بڕ/یەکە</t>
  </si>
  <si>
    <t>نرخ</t>
  </si>
  <si>
    <t>کۆی گشتی</t>
  </si>
  <si>
    <t>کۆد دابینکەر</t>
  </si>
  <si>
    <t>ناوی دابینکەران</t>
  </si>
  <si>
    <t>کۆد مواد</t>
  </si>
  <si>
    <t>ناوی مواد</t>
  </si>
  <si>
    <t>برنج</t>
  </si>
  <si>
    <t>فاسؤليا</t>
  </si>
  <si>
    <t>مريشك</t>
  </si>
  <si>
    <t>ناوى مواد</t>
  </si>
  <si>
    <t>هاما</t>
  </si>
  <si>
    <t>داریان</t>
  </si>
  <si>
    <t>داراین</t>
  </si>
  <si>
    <t>جاستەر</t>
  </si>
  <si>
    <t>ناوی كريار</t>
  </si>
  <si>
    <t>كؤدي كريار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</si>
</sst>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[$-2000401]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  <fill>
      <gradientFill degree="270">
        <stop position="0">
          <color theme="0"/>
        </stop>
        <stop position="1">
          <color theme="4"/>
        </stop>
      </gradient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9">
    <xf numFmtId="0" fontId="0" fillId="0" borderId="0" xfId="0"/>
    <xf numFmtId="0" fontId="0" fillId="3" borderId="0" xfId="0" applyFill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2" borderId="1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164" fontId="6" fillId="4" borderId="3" xfId="2" applyNumberFormat="1" applyFont="1" applyFill="1" applyBorder="1" applyAlignment="1">
      <alignment horizontal="center" vertical="center"/>
    </xf>
    <xf numFmtId="165" fontId="0" fillId="0" borderId="0" xfId="0" applyNumberFormat="1"/>
    <xf numFmtId="165" fontId="2" fillId="0" borderId="0" xfId="0" applyNumberFormat="1" applyFont="1"/>
    <xf numFmtId="165" fontId="7" fillId="0" borderId="0" xfId="0" applyNumberFormat="1" applyFont="1"/>
    <xf numFmtId="0" fontId="7" fillId="0" borderId="0" xfId="0" applyFont="1"/>
    <xf numFmtId="14" fontId="6" fillId="4" borderId="3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 vertical="center"/>
    </xf>
    <xf numFmtId="43" fontId="6" fillId="4" borderId="3" xfId="1" applyFont="1" applyFill="1" applyBorder="1" applyAlignment="1">
      <alignment horizontal="center" vertical="center"/>
    </xf>
    <xf numFmtId="43" fontId="0" fillId="0" borderId="0" xfId="1" applyFont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ustmer name'!A1"/><Relationship Id="rId2" Type="http://schemas.openxmlformats.org/officeDocument/2006/relationships/hyperlink" Target="#'Suppler name'!A1"/><Relationship Id="rId1" Type="http://schemas.openxmlformats.org/officeDocument/2006/relationships/hyperlink" Target="#'ITEM NAME'!A1"/><Relationship Id="rId6" Type="http://schemas.openxmlformats.org/officeDocument/2006/relationships/hyperlink" Target="#'expire and damage'!A1"/><Relationship Id="rId5" Type="http://schemas.openxmlformats.org/officeDocument/2006/relationships/hyperlink" Target="#'purchies return'!A1"/><Relationship Id="rId4" Type="http://schemas.openxmlformats.org/officeDocument/2006/relationships/hyperlink" Target="#sell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146050</xdr:colOff>
      <xdr:row>2</xdr:row>
      <xdr:rowOff>107950</xdr:rowOff>
    </xdr:from>
    <xdr:to>
      <xdr:col>5</xdr:col>
      <xdr:colOff>171450</xdr:colOff>
      <xdr:row>6</xdr:row>
      <xdr:rowOff>31750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16437025" y="488950"/>
          <a:ext cx="1768475" cy="6858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ku-Arab-IQ" sz="2800">
              <a:cs typeface="Ali_K_Samik" pitchFamily="2" charset="-78"/>
            </a:rPr>
            <a:t>ناو</a:t>
          </a:r>
          <a:r>
            <a:rPr lang="ar-IQ" sz="2800">
              <a:cs typeface="Ali_K_Samik" pitchFamily="2" charset="-78"/>
            </a:rPr>
            <a:t>ى</a:t>
          </a:r>
          <a:r>
            <a:rPr lang="ku-Arab-IQ" sz="2800" baseline="0">
              <a:cs typeface="Ali_K_Samik" pitchFamily="2" charset="-78"/>
            </a:rPr>
            <a:t> </a:t>
          </a:r>
          <a:r>
            <a:rPr lang="ar-IQ" sz="2800" baseline="0">
              <a:cs typeface="Ali_K_Samik" pitchFamily="2" charset="-78"/>
            </a:rPr>
            <a:t>مةواد</a:t>
          </a:r>
          <a:endParaRPr lang="en-US" sz="2800">
            <a:cs typeface="Ali_K_Samik" pitchFamily="2" charset="-78"/>
          </a:endParaRPr>
        </a:p>
      </xdr:txBody>
    </xdr:sp>
    <xdr:clientData/>
  </xdr:twoCellAnchor>
  <xdr:twoCellAnchor>
    <xdr:from>
      <xdr:col>2</xdr:col>
      <xdr:colOff>107949</xdr:colOff>
      <xdr:row>7</xdr:row>
      <xdr:rowOff>146050</xdr:rowOff>
    </xdr:from>
    <xdr:to>
      <xdr:col>5</xdr:col>
      <xdr:colOff>485774</xdr:colOff>
      <xdr:row>11</xdr:row>
      <xdr:rowOff>69850</xdr:rowOff>
    </xdr:to>
    <xdr:sp macro="" textlink="">
      <xdr:nvSpPr>
        <xdr:cNvPr id="3" name="Rounded 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516122701" y="1479550"/>
          <a:ext cx="2120900" cy="6858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ku-Arab-IQ" sz="2800">
              <a:cs typeface="Ali_K_Samik" pitchFamily="2" charset="-78"/>
            </a:rPr>
            <a:t>ناو</a:t>
          </a:r>
          <a:r>
            <a:rPr lang="ar-IQ" sz="2800">
              <a:cs typeface="Ali_K_Samik" pitchFamily="2" charset="-78"/>
            </a:rPr>
            <a:t>ى</a:t>
          </a:r>
          <a:r>
            <a:rPr lang="ku-Arab-IQ" sz="2800" baseline="0">
              <a:cs typeface="Ali_K_Samik" pitchFamily="2" charset="-78"/>
            </a:rPr>
            <a:t> </a:t>
          </a:r>
          <a:r>
            <a:rPr lang="ar-IQ" sz="2800" baseline="0">
              <a:cs typeface="Ali_K_Samik" pitchFamily="2" charset="-78"/>
            </a:rPr>
            <a:t>دابينكةران</a:t>
          </a:r>
          <a:endParaRPr lang="en-US" sz="2800">
            <a:cs typeface="Ali_K_Samik" pitchFamily="2" charset="-78"/>
          </a:endParaRPr>
        </a:p>
      </xdr:txBody>
    </xdr:sp>
    <xdr:clientData/>
  </xdr:twoCellAnchor>
  <xdr:twoCellAnchor>
    <xdr:from>
      <xdr:col>2</xdr:col>
      <xdr:colOff>107950</xdr:colOff>
      <xdr:row>13</xdr:row>
      <xdr:rowOff>31750</xdr:rowOff>
    </xdr:from>
    <xdr:to>
      <xdr:col>5</xdr:col>
      <xdr:colOff>476250</xdr:colOff>
      <xdr:row>16</xdr:row>
      <xdr:rowOff>139700</xdr:rowOff>
    </xdr:to>
    <xdr:sp macro="" textlink="">
      <xdr:nvSpPr>
        <xdr:cNvPr id="4" name="Rounded 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516132225" y="2508250"/>
          <a:ext cx="2111375" cy="67945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ku-Arab-IQ" sz="2800">
              <a:cs typeface="Ali_K_Samik" pitchFamily="2" charset="-78"/>
            </a:rPr>
            <a:t>ناو</a:t>
          </a:r>
          <a:r>
            <a:rPr lang="ar-IQ" sz="2800">
              <a:cs typeface="Ali_K_Samik" pitchFamily="2" charset="-78"/>
            </a:rPr>
            <a:t>ى</a:t>
          </a:r>
          <a:r>
            <a:rPr lang="ku-Arab-IQ" sz="2800" baseline="0">
              <a:cs typeface="Ali_K_Samik" pitchFamily="2" charset="-78"/>
            </a:rPr>
            <a:t> </a:t>
          </a:r>
          <a:r>
            <a:rPr lang="ar-IQ" sz="2800" baseline="0">
              <a:cs typeface="Ali_K_Samik" pitchFamily="2" charset="-78"/>
            </a:rPr>
            <a:t>كرِيارةكان</a:t>
          </a:r>
          <a:endParaRPr lang="en-US" sz="2800">
            <a:cs typeface="Ali_K_Samik" pitchFamily="2" charset="-78"/>
          </a:endParaRPr>
        </a:p>
      </xdr:txBody>
    </xdr:sp>
    <xdr:clientData/>
  </xdr:twoCellAnchor>
  <xdr:twoCellAnchor>
    <xdr:from>
      <xdr:col>6</xdr:col>
      <xdr:colOff>514350</xdr:colOff>
      <xdr:row>1</xdr:row>
      <xdr:rowOff>158750</xdr:rowOff>
    </xdr:from>
    <xdr:to>
      <xdr:col>9</xdr:col>
      <xdr:colOff>184150</xdr:colOff>
      <xdr:row>5</xdr:row>
      <xdr:rowOff>82550</xdr:rowOff>
    </xdr:to>
    <xdr:sp macro="" textlink="">
      <xdr:nvSpPr>
        <xdr:cNvPr id="5" name="Rounded 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982015850" y="342900"/>
          <a:ext cx="1498600" cy="6604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ar-IQ" sz="2800">
              <a:cs typeface="Ali_K_Samik" pitchFamily="2" charset="-78"/>
            </a:rPr>
            <a:t>كرِينةكان</a:t>
          </a:r>
          <a:endParaRPr lang="en-US" sz="2800">
            <a:cs typeface="Ali_K_Samik" pitchFamily="2" charset="-78"/>
          </a:endParaRPr>
        </a:p>
      </xdr:txBody>
    </xdr:sp>
    <xdr:clientData/>
  </xdr:twoCellAnchor>
  <xdr:twoCellAnchor>
    <xdr:from>
      <xdr:col>6</xdr:col>
      <xdr:colOff>66676</xdr:colOff>
      <xdr:row>7</xdr:row>
      <xdr:rowOff>9525</xdr:rowOff>
    </xdr:from>
    <xdr:to>
      <xdr:col>10</xdr:col>
      <xdr:colOff>330201</xdr:colOff>
      <xdr:row>10</xdr:row>
      <xdr:rowOff>117475</xdr:rowOff>
    </xdr:to>
    <xdr:sp macro="" textlink="">
      <xdr:nvSpPr>
        <xdr:cNvPr id="6" name="Rounded Rectangle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513373149" y="1343025"/>
          <a:ext cx="2587625" cy="67945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ar-IQ" sz="2800">
              <a:latin typeface="Gill Sans MT" panose="020B0502020104020203" pitchFamily="34" charset="0"/>
              <a:cs typeface="Ali_K_Samik" pitchFamily="2" charset="-78"/>
            </a:rPr>
            <a:t>طةراوةى كرِينةكان</a:t>
          </a:r>
          <a:endParaRPr lang="en-US" sz="2800">
            <a:latin typeface="Gill Sans MT" panose="020B0502020104020203" pitchFamily="34" charset="0"/>
            <a:cs typeface="Ali_K_Samik" pitchFamily="2" charset="-78"/>
          </a:endParaRPr>
        </a:p>
      </xdr:txBody>
    </xdr:sp>
    <xdr:clientData/>
  </xdr:twoCellAnchor>
  <xdr:twoCellAnchor>
    <xdr:from>
      <xdr:col>6</xdr:col>
      <xdr:colOff>400050</xdr:colOff>
      <xdr:row>12</xdr:row>
      <xdr:rowOff>25400</xdr:rowOff>
    </xdr:from>
    <xdr:to>
      <xdr:col>11</xdr:col>
      <xdr:colOff>200025</xdr:colOff>
      <xdr:row>15</xdr:row>
      <xdr:rowOff>133350</xdr:rowOff>
    </xdr:to>
    <xdr:sp macro="" textlink="">
      <xdr:nvSpPr>
        <xdr:cNvPr id="7" name="Rounded Rectangle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9512922300" y="2311400"/>
          <a:ext cx="2705100" cy="67945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ar-IQ" sz="2800">
              <a:cs typeface="Ali_K_Samik" pitchFamily="2" charset="-78"/>
            </a:rPr>
            <a:t>تةلةف و بةسةرضوو</a:t>
          </a:r>
          <a:endParaRPr lang="en-US" sz="2800">
            <a:cs typeface="Ali_K_Samik" pitchFamily="2" charset="-78"/>
          </a:endParaRPr>
        </a:p>
      </xdr:txBody>
    </xdr:sp>
    <xdr:clientData/>
  </xdr:twoCellAnchor>
  <xdr:twoCellAnchor>
    <xdr:from>
      <xdr:col>11</xdr:col>
      <xdr:colOff>558800</xdr:colOff>
      <xdr:row>1</xdr:row>
      <xdr:rowOff>114300</xdr:rowOff>
    </xdr:from>
    <xdr:to>
      <xdr:col>14</xdr:col>
      <xdr:colOff>228600</xdr:colOff>
      <xdr:row>5</xdr:row>
      <xdr:rowOff>38100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978923400" y="298450"/>
          <a:ext cx="1498600" cy="6604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ar-IQ" sz="2800">
              <a:cs typeface="Ali_K_Samik" pitchFamily="2" charset="-78"/>
            </a:rPr>
            <a:t>فرؤشتن</a:t>
          </a:r>
          <a:endParaRPr lang="en-US" sz="2800">
            <a:cs typeface="Ali_K_Samik" pitchFamily="2" charset="-78"/>
          </a:endParaRPr>
        </a:p>
      </xdr:txBody>
    </xdr:sp>
    <xdr:clientData/>
  </xdr:twoCellAnchor>
  <xdr:twoCellAnchor>
    <xdr:from>
      <xdr:col>11</xdr:col>
      <xdr:colOff>355600</xdr:colOff>
      <xdr:row>7</xdr:row>
      <xdr:rowOff>12700</xdr:rowOff>
    </xdr:from>
    <xdr:to>
      <xdr:col>14</xdr:col>
      <xdr:colOff>476250</xdr:colOff>
      <xdr:row>10</xdr:row>
      <xdr:rowOff>120650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978675750" y="1301750"/>
          <a:ext cx="1949450" cy="6604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ar-IQ" sz="2800">
              <a:cs typeface="Ali_K_Samik" pitchFamily="2" charset="-78"/>
            </a:rPr>
            <a:t>طةراوةى</a:t>
          </a:r>
          <a:r>
            <a:rPr lang="ar-IQ" sz="2800" baseline="0">
              <a:cs typeface="Ali_K_Samik" pitchFamily="2" charset="-78"/>
            </a:rPr>
            <a:t> فرؤشتن</a:t>
          </a:r>
          <a:endParaRPr lang="en-US" sz="2800">
            <a:cs typeface="Ali_K_Samik" pitchFamily="2" charset="-78"/>
          </a:endParaRPr>
        </a:p>
      </xdr:txBody>
    </xdr:sp>
    <xdr:clientData/>
  </xdr:twoCellAnchor>
  <xdr:twoCellAnchor>
    <xdr:from>
      <xdr:col>11</xdr:col>
      <xdr:colOff>349250</xdr:colOff>
      <xdr:row>13</xdr:row>
      <xdr:rowOff>38100</xdr:rowOff>
    </xdr:from>
    <xdr:to>
      <xdr:col>14</xdr:col>
      <xdr:colOff>533400</xdr:colOff>
      <xdr:row>16</xdr:row>
      <xdr:rowOff>146050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9978618600" y="2432050"/>
          <a:ext cx="2012950" cy="6604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ar-IQ" sz="2800">
              <a:cs typeface="Ali_K_Samik" pitchFamily="2" charset="-78"/>
            </a:rPr>
            <a:t>رِاثؤرتى</a:t>
          </a:r>
          <a:r>
            <a:rPr lang="ar-IQ" sz="2800" baseline="0">
              <a:cs typeface="Ali_K_Samik" pitchFamily="2" charset="-78"/>
            </a:rPr>
            <a:t> كرِياران</a:t>
          </a:r>
          <a:endParaRPr lang="en-US" sz="2800">
            <a:cs typeface="Ali_K_Samik" pitchFamily="2" charset="-78"/>
          </a:endParaRPr>
        </a:p>
      </xdr:txBody>
    </xdr:sp>
    <xdr:clientData/>
  </xdr:twoCellAnchor>
  <xdr:twoCellAnchor>
    <xdr:from>
      <xdr:col>15</xdr:col>
      <xdr:colOff>508000</xdr:colOff>
      <xdr:row>4</xdr:row>
      <xdr:rowOff>63500</xdr:rowOff>
    </xdr:from>
    <xdr:to>
      <xdr:col>18</xdr:col>
      <xdr:colOff>177800</xdr:colOff>
      <xdr:row>7</xdr:row>
      <xdr:rowOff>171450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9976535800" y="800100"/>
          <a:ext cx="1498600" cy="6604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ar-IQ" sz="2800">
              <a:cs typeface="Ali_K_Samik" pitchFamily="2" charset="-78"/>
            </a:rPr>
            <a:t>جرد</a:t>
          </a:r>
          <a:r>
            <a:rPr lang="ar-IQ" sz="2800" baseline="0">
              <a:cs typeface="Ali_K_Samik" pitchFamily="2" charset="-78"/>
            </a:rPr>
            <a:t> مواد</a:t>
          </a:r>
          <a:endParaRPr lang="en-US" sz="2800">
            <a:cs typeface="Ali_K_Samik" pitchFamily="2" charset="-78"/>
          </a:endParaRPr>
        </a:p>
      </xdr:txBody>
    </xdr:sp>
    <xdr:clientData/>
  </xdr:twoCellAnchor>
  <xdr:twoCellAnchor>
    <xdr:from>
      <xdr:col>14</xdr:col>
      <xdr:colOff>577850</xdr:colOff>
      <xdr:row>10</xdr:row>
      <xdr:rowOff>19050</xdr:rowOff>
    </xdr:from>
    <xdr:to>
      <xdr:col>19</xdr:col>
      <xdr:colOff>444500</xdr:colOff>
      <xdr:row>13</xdr:row>
      <xdr:rowOff>127000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9975659500" y="1860550"/>
          <a:ext cx="2914650" cy="6604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ar-IQ" sz="2800">
              <a:cs typeface="Ali_K_Samik" pitchFamily="2" charset="-78"/>
            </a:rPr>
            <a:t>رِاثؤرتى</a:t>
          </a:r>
          <a:r>
            <a:rPr lang="ar-IQ" sz="2800" baseline="0">
              <a:cs typeface="Ali_K_Samik" pitchFamily="2" charset="-78"/>
            </a:rPr>
            <a:t> موادى </a:t>
          </a:r>
          <a:r>
            <a:rPr lang="ar-IQ" sz="2800">
              <a:cs typeface="Ali_K_Samik" pitchFamily="2" charset="-78"/>
            </a:rPr>
            <a:t>فرؤشراو</a:t>
          </a:r>
          <a:endParaRPr lang="en-US" sz="2800">
            <a:cs typeface="Ali_K_Samik" pitchFamily="2" charset="-78"/>
          </a:endParaRPr>
        </a:p>
      </xdr:txBody>
    </xdr:sp>
    <xdr:clientData/>
  </xdr:twoCellAnchor>
  <xdr:twoCellAnchor>
    <xdr:from>
      <xdr:col>6</xdr:col>
      <xdr:colOff>298450</xdr:colOff>
      <xdr:row>17</xdr:row>
      <xdr:rowOff>69850</xdr:rowOff>
    </xdr:from>
    <xdr:to>
      <xdr:col>10</xdr:col>
      <xdr:colOff>355600</xdr:colOff>
      <xdr:row>20</xdr:row>
      <xdr:rowOff>177800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9981234800" y="3200400"/>
          <a:ext cx="2495550" cy="6604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ar-IQ" sz="2800">
              <a:cs typeface="Ali_K_Samik" pitchFamily="2" charset="-78"/>
            </a:rPr>
            <a:t>رِاثؤرتى</a:t>
          </a:r>
          <a:r>
            <a:rPr lang="ar-IQ" sz="2800" baseline="0">
              <a:cs typeface="Ali_K_Samik" pitchFamily="2" charset="-78"/>
            </a:rPr>
            <a:t> دابينكةران</a:t>
          </a:r>
          <a:endParaRPr lang="en-US" sz="2800">
            <a:cs typeface="Ali_K_Samik" pitchFamily="2" charset="-7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406400</xdr:colOff>
      <xdr:row>0</xdr:row>
      <xdr:rowOff>82550</xdr:rowOff>
    </xdr:from>
    <xdr:to>
      <xdr:col>5</xdr:col>
      <xdr:colOff>1714500</xdr:colOff>
      <xdr:row>3</xdr:row>
      <xdr:rowOff>63500</xdr:rowOff>
    </xdr:to>
    <xdr:sp macro="" textlink="">
      <xdr:nvSpPr>
        <xdr:cNvPr id="2" name="Oval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426DC5-94F9-4A76-9B3B-64C0B1D4447B}"/>
            </a:ext>
          </a:extLst>
        </xdr:cNvPr>
        <xdr:cNvSpPr/>
      </xdr:nvSpPr>
      <xdr:spPr>
        <a:xfrm>
          <a:off x="9985086075" y="82550"/>
          <a:ext cx="1308100" cy="552450"/>
        </a:xfrm>
        <a:prstGeom prst="ellipse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en-US" sz="1800"/>
            <a:t>home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406400</xdr:colOff>
      <xdr:row>0</xdr:row>
      <xdr:rowOff>82550</xdr:rowOff>
    </xdr:from>
    <xdr:to>
      <xdr:col>5</xdr:col>
      <xdr:colOff>1714500</xdr:colOff>
      <xdr:row>3</xdr:row>
      <xdr:rowOff>63500</xdr:rowOff>
    </xdr:to>
    <xdr:sp macro="" textlink="">
      <xdr:nvSpPr>
        <xdr:cNvPr id="2" name="Oval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0AF6FA-4677-4F33-B2AC-510841566DB7}"/>
            </a:ext>
          </a:extLst>
        </xdr:cNvPr>
        <xdr:cNvSpPr/>
      </xdr:nvSpPr>
      <xdr:spPr>
        <a:xfrm>
          <a:off x="9985086075" y="82550"/>
          <a:ext cx="1308100" cy="552450"/>
        </a:xfrm>
        <a:prstGeom prst="ellipse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en-US" sz="1800"/>
            <a:t>home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406400</xdr:colOff>
      <xdr:row>0</xdr:row>
      <xdr:rowOff>82550</xdr:rowOff>
    </xdr:from>
    <xdr:to>
      <xdr:col>5</xdr:col>
      <xdr:colOff>1714500</xdr:colOff>
      <xdr:row>3</xdr:row>
      <xdr:rowOff>63500</xdr:rowOff>
    </xdr:to>
    <xdr:sp macro="" textlink="">
      <xdr:nvSpPr>
        <xdr:cNvPr id="2" name="Oval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49799C4-85DB-4862-9447-9185B82445AE}"/>
            </a:ext>
          </a:extLst>
        </xdr:cNvPr>
        <xdr:cNvSpPr/>
      </xdr:nvSpPr>
      <xdr:spPr>
        <a:xfrm>
          <a:off x="9985086075" y="82550"/>
          <a:ext cx="1308100" cy="552450"/>
        </a:xfrm>
        <a:prstGeom prst="ellipse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en-US" sz="1800"/>
            <a:t>home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406400</xdr:colOff>
      <xdr:row>0</xdr:row>
      <xdr:rowOff>82550</xdr:rowOff>
    </xdr:from>
    <xdr:to>
      <xdr:col>5</xdr:col>
      <xdr:colOff>1714500</xdr:colOff>
      <xdr:row>3</xdr:row>
      <xdr:rowOff>63500</xdr:rowOff>
    </xdr:to>
    <xdr:sp macro="" textlink="">
      <xdr:nvSpPr>
        <xdr:cNvPr id="2" name="Oval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406711-06E5-4C8E-A078-F895D439CEE8}"/>
            </a:ext>
          </a:extLst>
        </xdr:cNvPr>
        <xdr:cNvSpPr/>
      </xdr:nvSpPr>
      <xdr:spPr>
        <a:xfrm>
          <a:off x="9985086075" y="82550"/>
          <a:ext cx="1308100" cy="552450"/>
        </a:xfrm>
        <a:prstGeom prst="ellipse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en-US" sz="1800"/>
            <a:t>home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1</xdr:row>
          <xdr:rowOff>190500</xdr:rowOff>
        </xdr:from>
        <xdr:to>
          <xdr:col>13</xdr:col>
          <xdr:colOff>133350</xdr:colOff>
          <xdr:row>3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406400</xdr:colOff>
      <xdr:row>0</xdr:row>
      <xdr:rowOff>82550</xdr:rowOff>
    </xdr:from>
    <xdr:to>
      <xdr:col>5</xdr:col>
      <xdr:colOff>1714500</xdr:colOff>
      <xdr:row>3</xdr:row>
      <xdr:rowOff>63500</xdr:rowOff>
    </xdr:to>
    <xdr:sp macro="" textlink="">
      <xdr:nvSpPr>
        <xdr:cNvPr id="2" name="Oval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985355950" y="82550"/>
          <a:ext cx="1308100" cy="533400"/>
        </a:xfrm>
        <a:prstGeom prst="ellipse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en-US" sz="1800"/>
            <a:t>home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584200</xdr:colOff>
      <xdr:row>3</xdr:row>
      <xdr:rowOff>44450</xdr:rowOff>
    </xdr:from>
    <xdr:to>
      <xdr:col>5</xdr:col>
      <xdr:colOff>431800</xdr:colOff>
      <xdr:row>7</xdr:row>
      <xdr:rowOff>63500</xdr:rowOff>
    </xdr:to>
    <xdr:sp macro="" textlink="">
      <xdr:nvSpPr>
        <xdr:cNvPr id="2" name="Oval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9984206600" y="596900"/>
          <a:ext cx="1676400" cy="965200"/>
        </a:xfrm>
        <a:prstGeom prst="ellipse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en-US" sz="2800"/>
            <a:t>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584200</xdr:colOff>
      <xdr:row>3</xdr:row>
      <xdr:rowOff>44450</xdr:rowOff>
    </xdr:from>
    <xdr:to>
      <xdr:col>5</xdr:col>
      <xdr:colOff>431800</xdr:colOff>
      <xdr:row>7</xdr:row>
      <xdr:rowOff>63500</xdr:rowOff>
    </xdr:to>
    <xdr:sp macro="" textlink="">
      <xdr:nvSpPr>
        <xdr:cNvPr id="2" name="Oval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9984206600" y="596900"/>
          <a:ext cx="1676400" cy="965200"/>
        </a:xfrm>
        <a:prstGeom prst="ellipse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en-US" sz="2800"/>
            <a:t>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584200</xdr:colOff>
      <xdr:row>3</xdr:row>
      <xdr:rowOff>44450</xdr:rowOff>
    </xdr:from>
    <xdr:to>
      <xdr:col>5</xdr:col>
      <xdr:colOff>431800</xdr:colOff>
      <xdr:row>7</xdr:row>
      <xdr:rowOff>63500</xdr:rowOff>
    </xdr:to>
    <xdr:sp macro="" textlink="">
      <xdr:nvSpPr>
        <xdr:cNvPr id="2" name="Oval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984206600" y="596900"/>
          <a:ext cx="1676400" cy="965200"/>
        </a:xfrm>
        <a:prstGeom prst="ellipse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en-US" sz="2800"/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rightToLeft="1" workbookViewId="0">
      <selection activeCell="K5" sqref="K5"/>
    </sheetView>
  </sheetViews>
  <sheetFormatPr defaultColWidth="8.7109375" defaultRowHeight="15" x14ac:dyDescent="0.25"/>
  <cols>
    <col min="1" max="16384" width="8.7109375" style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33B8F-B7CF-402B-BEEF-1F7762E324A7}">
  <dimension ref="A5:M18"/>
  <sheetViews>
    <sheetView rightToLeft="1" workbookViewId="0">
      <pane ySplit="5" topLeftCell="A6" activePane="bottomLeft" state="frozen"/>
      <selection pane="bottomLeft"/>
    </sheetView>
  </sheetViews>
  <sheetFormatPr defaultRowHeight="15" x14ac:dyDescent="0.25"/>
  <cols>
    <col min="1" max="1" width="11.28515625" customWidth="1"/>
    <col min="2" max="2" width="9.140625" style="14"/>
    <col min="3" max="3" width="13.5703125" customWidth="1"/>
    <col min="4" max="4" width="22" customWidth="1"/>
    <col min="5" max="5" width="12.7109375" customWidth="1"/>
    <col min="6" max="6" width="26.140625" customWidth="1"/>
    <col min="7" max="7" width="12" style="18" customWidth="1"/>
    <col min="8" max="8" width="10.85546875" customWidth="1"/>
    <col min="9" max="9" width="13.42578125" customWidth="1"/>
    <col min="12" max="12" width="11.7109375" customWidth="1"/>
    <col min="13" max="13" width="13.140625" customWidth="1"/>
  </cols>
  <sheetData>
    <row r="5" spans="1:13" ht="36.950000000000003" customHeight="1" x14ac:dyDescent="0.25">
      <c r="A5" s="6" t="s">
        <v>4</v>
      </c>
      <c r="B5" s="13" t="s">
        <v>5</v>
      </c>
      <c r="C5" s="7" t="s">
        <v>9</v>
      </c>
      <c r="D5" s="7" t="s">
        <v>10</v>
      </c>
      <c r="E5" s="7" t="s">
        <v>11</v>
      </c>
      <c r="F5" s="7" t="s">
        <v>12</v>
      </c>
      <c r="G5" s="17" t="s">
        <v>6</v>
      </c>
      <c r="H5" s="8" t="s">
        <v>7</v>
      </c>
      <c r="I5" s="8" t="s">
        <v>8</v>
      </c>
      <c r="K5" s="17" t="s">
        <v>6</v>
      </c>
      <c r="L5" s="8" t="s">
        <v>16</v>
      </c>
      <c r="M5" s="8" t="s">
        <v>8</v>
      </c>
    </row>
    <row r="6" spans="1:13" ht="26.25" x14ac:dyDescent="0.4">
      <c r="B6" s="14">
        <v>45658</v>
      </c>
      <c r="C6" s="9">
        <v>1</v>
      </c>
      <c r="D6" s="4" t="str">
        <f>IFERROR(VLOOKUP(C6,'Suppler name'!A:B,2,FALSE),"")</f>
        <v>هاما</v>
      </c>
      <c r="E6">
        <v>1</v>
      </c>
      <c r="F6" s="3" t="str">
        <f>IFERROR(VLOOKUP(E6,'ITEM NAME'!A:B,2,FALSE),"")</f>
        <v>برنج</v>
      </c>
      <c r="G6" s="18">
        <v>11</v>
      </c>
      <c r="H6">
        <v>1</v>
      </c>
      <c r="I6" s="16">
        <f>G6*H6</f>
        <v>11</v>
      </c>
      <c r="K6" s="3">
        <f>SUMIF(F:F,L6,G:G)</f>
        <v>44</v>
      </c>
      <c r="L6" s="15" t="str">
        <f>'ITEM NAME'!B6</f>
        <v>برنج</v>
      </c>
      <c r="M6" s="3">
        <f>SUMIF(F:F,L6,I:I)</f>
        <v>110</v>
      </c>
    </row>
    <row r="7" spans="1:13" ht="26.25" x14ac:dyDescent="0.4">
      <c r="B7" s="14">
        <v>45689</v>
      </c>
      <c r="C7" s="9"/>
      <c r="D7" s="4" t="str">
        <f>IFERROR(VLOOKUP(C7,'Suppler name'!A:B,2,FALSE),"")</f>
        <v/>
      </c>
      <c r="E7">
        <v>3</v>
      </c>
      <c r="F7" s="3" t="str">
        <f>IFERROR(VLOOKUP(E7,'ITEM NAME'!A:B,2,FALSE),"")</f>
        <v>مريشك</v>
      </c>
      <c r="G7" s="18">
        <v>22</v>
      </c>
      <c r="H7">
        <v>2</v>
      </c>
      <c r="I7" s="16">
        <f t="shared" ref="I7:I18" si="0">G7*H7</f>
        <v>44</v>
      </c>
      <c r="K7" s="3">
        <f t="shared" ref="K7:K16" si="1">SUMIF(F:F,L7,G:G)</f>
        <v>0</v>
      </c>
      <c r="L7" s="15" t="str">
        <f>'ITEM NAME'!B7</f>
        <v>فاسؤليا</v>
      </c>
      <c r="M7" s="3">
        <f t="shared" ref="M7:M16" si="2">SUMIF(F:F,L7,I:I)</f>
        <v>0</v>
      </c>
    </row>
    <row r="8" spans="1:13" ht="26.25" x14ac:dyDescent="0.4">
      <c r="D8" s="4" t="str">
        <f>IFERROR(VLOOKUP(C8,'Suppler name'!A:B,2,FALSE),"")</f>
        <v/>
      </c>
      <c r="E8">
        <v>1</v>
      </c>
      <c r="F8" s="3" t="str">
        <f>IFERROR(VLOOKUP(E8,'ITEM NAME'!A:B,2,FALSE),"")</f>
        <v>برنج</v>
      </c>
      <c r="G8" s="18">
        <v>33</v>
      </c>
      <c r="H8">
        <v>3</v>
      </c>
      <c r="I8" s="16">
        <f t="shared" si="0"/>
        <v>99</v>
      </c>
      <c r="K8" s="3">
        <f t="shared" si="1"/>
        <v>66</v>
      </c>
      <c r="L8" s="15" t="str">
        <f>'ITEM NAME'!B8</f>
        <v>مريشك</v>
      </c>
      <c r="M8" s="3">
        <f t="shared" si="2"/>
        <v>220</v>
      </c>
    </row>
    <row r="9" spans="1:13" ht="26.25" x14ac:dyDescent="0.4">
      <c r="D9" s="4" t="str">
        <f>IFERROR(VLOOKUP(C9,'Suppler name'!A:B,2,FALSE),"")</f>
        <v/>
      </c>
      <c r="E9">
        <v>3</v>
      </c>
      <c r="F9" s="3" t="str">
        <f>IFERROR(VLOOKUP(E9,'ITEM NAME'!A:B,2,FALSE),"")</f>
        <v>مريشك</v>
      </c>
      <c r="G9" s="18">
        <v>44</v>
      </c>
      <c r="H9">
        <v>4</v>
      </c>
      <c r="I9" s="16">
        <f t="shared" si="0"/>
        <v>176</v>
      </c>
      <c r="K9" s="3">
        <f t="shared" si="1"/>
        <v>0</v>
      </c>
      <c r="L9" s="15">
        <f>'ITEM NAME'!B9</f>
        <v>0</v>
      </c>
      <c r="M9" s="3">
        <f t="shared" si="2"/>
        <v>0</v>
      </c>
    </row>
    <row r="10" spans="1:13" ht="26.25" x14ac:dyDescent="0.4">
      <c r="D10" s="4" t="str">
        <f>IFERROR(VLOOKUP(C10,'Suppler name'!A:B,2,FALSE),"")</f>
        <v/>
      </c>
      <c r="F10" s="3" t="str">
        <f>IFERROR(VLOOKUP(E10,'ITEM NAME'!A:B,2,FALSE),"")</f>
        <v/>
      </c>
      <c r="I10" s="16">
        <f t="shared" si="0"/>
        <v>0</v>
      </c>
      <c r="K10" s="3">
        <f t="shared" si="1"/>
        <v>0</v>
      </c>
      <c r="L10" s="15">
        <f>'ITEM NAME'!B10</f>
        <v>0</v>
      </c>
      <c r="M10" s="3">
        <f t="shared" si="2"/>
        <v>0</v>
      </c>
    </row>
    <row r="11" spans="1:13" ht="26.25" x14ac:dyDescent="0.4">
      <c r="D11" s="4" t="str">
        <f>IFERROR(VLOOKUP(C11,'Suppler name'!A:B,2,FALSE),"")</f>
        <v/>
      </c>
      <c r="F11" s="3" t="str">
        <f>IFERROR(VLOOKUP(E11,'ITEM NAME'!A:B,2,FALSE),"")</f>
        <v/>
      </c>
      <c r="I11" s="16">
        <f t="shared" si="0"/>
        <v>0</v>
      </c>
      <c r="K11" s="3">
        <f t="shared" si="1"/>
        <v>0</v>
      </c>
      <c r="L11" s="15">
        <f>'ITEM NAME'!B11</f>
        <v>0</v>
      </c>
      <c r="M11" s="3">
        <f t="shared" si="2"/>
        <v>0</v>
      </c>
    </row>
    <row r="12" spans="1:13" ht="26.25" x14ac:dyDescent="0.4">
      <c r="D12" s="4" t="str">
        <f>IFERROR(VLOOKUP(C12,'Suppler name'!A:B,2,FALSE),"")</f>
        <v/>
      </c>
      <c r="F12" s="3" t="str">
        <f>IFERROR(VLOOKUP(E12,'ITEM NAME'!A:B,2,FALSE),"")</f>
        <v/>
      </c>
      <c r="I12" s="16">
        <f t="shared" si="0"/>
        <v>0</v>
      </c>
      <c r="K12" s="3">
        <f t="shared" si="1"/>
        <v>0</v>
      </c>
      <c r="L12" s="15">
        <f>'ITEM NAME'!B12</f>
        <v>0</v>
      </c>
      <c r="M12" s="3">
        <f t="shared" si="2"/>
        <v>0</v>
      </c>
    </row>
    <row r="13" spans="1:13" ht="26.25" x14ac:dyDescent="0.4">
      <c r="D13" s="4" t="str">
        <f>IFERROR(VLOOKUP(C13,'Suppler name'!A:B,2,FALSE),"")</f>
        <v/>
      </c>
      <c r="F13" s="3" t="str">
        <f>IFERROR(VLOOKUP(E13,'ITEM NAME'!A:B,2,FALSE),"")</f>
        <v/>
      </c>
      <c r="I13" s="16">
        <f t="shared" si="0"/>
        <v>0</v>
      </c>
      <c r="K13" s="3">
        <f t="shared" si="1"/>
        <v>0</v>
      </c>
      <c r="L13" s="15">
        <f>'ITEM NAME'!B13</f>
        <v>0</v>
      </c>
      <c r="M13" s="3">
        <f t="shared" si="2"/>
        <v>0</v>
      </c>
    </row>
    <row r="14" spans="1:13" ht="26.25" x14ac:dyDescent="0.4">
      <c r="D14" s="4" t="str">
        <f>IFERROR(VLOOKUP(C14,'Suppler name'!A:B,2,FALSE),"")</f>
        <v/>
      </c>
      <c r="F14" s="3" t="str">
        <f>IFERROR(VLOOKUP(E14,'ITEM NAME'!A:B,2,FALSE),"")</f>
        <v/>
      </c>
      <c r="I14" s="16">
        <f t="shared" si="0"/>
        <v>0</v>
      </c>
      <c r="K14" s="3">
        <f t="shared" si="1"/>
        <v>0</v>
      </c>
      <c r="L14" s="15">
        <f>'ITEM NAME'!B14</f>
        <v>0</v>
      </c>
      <c r="M14" s="3">
        <f t="shared" si="2"/>
        <v>0</v>
      </c>
    </row>
    <row r="15" spans="1:13" ht="26.25" x14ac:dyDescent="0.4">
      <c r="D15" s="4" t="str">
        <f>IFERROR(VLOOKUP(C15,'Suppler name'!A:B,2,FALSE),"")</f>
        <v/>
      </c>
      <c r="F15" s="3" t="str">
        <f>IFERROR(VLOOKUP(E15,'ITEM NAME'!A:B,2,FALSE),"")</f>
        <v/>
      </c>
      <c r="I15" s="16">
        <f t="shared" si="0"/>
        <v>0</v>
      </c>
      <c r="K15" s="3">
        <f t="shared" si="1"/>
        <v>0</v>
      </c>
      <c r="L15" s="15">
        <f>'ITEM NAME'!B15</f>
        <v>0</v>
      </c>
      <c r="M15" s="3">
        <f t="shared" si="2"/>
        <v>0</v>
      </c>
    </row>
    <row r="16" spans="1:13" ht="26.25" x14ac:dyDescent="0.4">
      <c r="D16" s="4" t="str">
        <f>IFERROR(VLOOKUP(C16,'Suppler name'!A:B,2,FALSE),"")</f>
        <v/>
      </c>
      <c r="F16" s="3" t="str">
        <f>IFERROR(VLOOKUP(E16,'ITEM NAME'!A:B,2,FALSE),"")</f>
        <v/>
      </c>
      <c r="I16" s="16">
        <f t="shared" si="0"/>
        <v>0</v>
      </c>
      <c r="K16" s="3">
        <f t="shared" si="1"/>
        <v>0</v>
      </c>
      <c r="L16" s="15">
        <f>'ITEM NAME'!B16</f>
        <v>0</v>
      </c>
      <c r="M16" s="3">
        <f t="shared" si="2"/>
        <v>0</v>
      </c>
    </row>
    <row r="17" spans="4:9" ht="26.25" x14ac:dyDescent="0.4">
      <c r="D17" s="4" t="str">
        <f>IFERROR(VLOOKUP(C17,'Suppler name'!A:B,2,FALSE),"")</f>
        <v/>
      </c>
      <c r="F17" s="3" t="str">
        <f>IFERROR(VLOOKUP(E17,'ITEM NAME'!A:B,2,FALSE),"")</f>
        <v/>
      </c>
      <c r="I17" s="16">
        <f t="shared" si="0"/>
        <v>0</v>
      </c>
    </row>
    <row r="18" spans="4:9" ht="26.25" x14ac:dyDescent="0.4">
      <c r="D18" s="4" t="str">
        <f>IFERROR(VLOOKUP(C18,'Suppler name'!A:B,2,FALSE),"")</f>
        <v/>
      </c>
      <c r="F18" s="3" t="str">
        <f>IFERROR(VLOOKUP(E18,'ITEM NAME'!A:B,2,FALSE),"")</f>
        <v/>
      </c>
      <c r="I18" s="16">
        <f t="shared" si="0"/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751C2-96A9-4723-A36A-2DAB4D5A2305}">
  <dimension ref="A5:M18"/>
  <sheetViews>
    <sheetView rightToLeft="1" workbookViewId="0">
      <pane ySplit="5" topLeftCell="A6" activePane="bottomLeft" state="frozen"/>
      <selection pane="bottomLeft"/>
    </sheetView>
  </sheetViews>
  <sheetFormatPr defaultRowHeight="15" x14ac:dyDescent="0.25"/>
  <cols>
    <col min="1" max="1" width="11.28515625" customWidth="1"/>
    <col min="2" max="2" width="9.140625" style="14"/>
    <col min="3" max="3" width="13.5703125" customWidth="1"/>
    <col min="4" max="4" width="22" customWidth="1"/>
    <col min="5" max="5" width="12.7109375" customWidth="1"/>
    <col min="6" max="6" width="26.140625" customWidth="1"/>
    <col min="7" max="7" width="12" style="18" customWidth="1"/>
    <col min="8" max="8" width="10.85546875" customWidth="1"/>
    <col min="9" max="9" width="13.42578125" customWidth="1"/>
    <col min="12" max="12" width="11.7109375" customWidth="1"/>
    <col min="13" max="13" width="13.140625" customWidth="1"/>
  </cols>
  <sheetData>
    <row r="5" spans="1:13" ht="36.950000000000003" customHeight="1" x14ac:dyDescent="0.25">
      <c r="A5" s="6" t="s">
        <v>4</v>
      </c>
      <c r="B5" s="13" t="s">
        <v>5</v>
      </c>
      <c r="C5" s="7" t="s">
        <v>9</v>
      </c>
      <c r="D5" s="7" t="s">
        <v>10</v>
      </c>
      <c r="E5" s="7" t="s">
        <v>11</v>
      </c>
      <c r="F5" s="7" t="s">
        <v>12</v>
      </c>
      <c r="G5" s="17" t="s">
        <v>6</v>
      </c>
      <c r="H5" s="8" t="s">
        <v>7</v>
      </c>
      <c r="I5" s="8" t="s">
        <v>8</v>
      </c>
      <c r="K5" s="17" t="s">
        <v>6</v>
      </c>
      <c r="L5" s="8" t="s">
        <v>16</v>
      </c>
      <c r="M5" s="8" t="s">
        <v>8</v>
      </c>
    </row>
    <row r="6" spans="1:13" ht="26.25" x14ac:dyDescent="0.4">
      <c r="B6" s="14">
        <v>45658</v>
      </c>
      <c r="C6" s="9">
        <v>1</v>
      </c>
      <c r="D6" s="4" t="str">
        <f>IFERROR(VLOOKUP(C6,'Suppler name'!A:B,2,FALSE),"")</f>
        <v>هاما</v>
      </c>
      <c r="E6">
        <v>1</v>
      </c>
      <c r="F6" s="3" t="str">
        <f>IFERROR(VLOOKUP(E6,'ITEM NAME'!A:B,2,FALSE),"")</f>
        <v>برنج</v>
      </c>
      <c r="G6" s="18">
        <v>11</v>
      </c>
      <c r="H6">
        <v>1</v>
      </c>
      <c r="I6" s="16">
        <f>G6*H6</f>
        <v>11</v>
      </c>
      <c r="K6" s="3">
        <f>SUMIF(F:F,L6,G:G)</f>
        <v>44</v>
      </c>
      <c r="L6" s="15" t="str">
        <f>'ITEM NAME'!B6</f>
        <v>برنج</v>
      </c>
      <c r="M6" s="3">
        <f>SUMIF(F:F,L6,I:I)</f>
        <v>110</v>
      </c>
    </row>
    <row r="7" spans="1:13" ht="26.25" x14ac:dyDescent="0.4">
      <c r="B7" s="14">
        <v>45689</v>
      </c>
      <c r="C7" s="9"/>
      <c r="D7" s="4" t="str">
        <f>IFERROR(VLOOKUP(C7,'Suppler name'!A:B,2,FALSE),"")</f>
        <v/>
      </c>
      <c r="E7">
        <v>3</v>
      </c>
      <c r="F7" s="3" t="str">
        <f>IFERROR(VLOOKUP(E7,'ITEM NAME'!A:B,2,FALSE),"")</f>
        <v>مريشك</v>
      </c>
      <c r="G7" s="18">
        <v>22</v>
      </c>
      <c r="H7">
        <v>2</v>
      </c>
      <c r="I7" s="16">
        <f t="shared" ref="I7:I18" si="0">G7*H7</f>
        <v>44</v>
      </c>
      <c r="K7" s="3">
        <f t="shared" ref="K7:K16" si="1">SUMIF(F:F,L7,G:G)</f>
        <v>0</v>
      </c>
      <c r="L7" s="15" t="str">
        <f>'ITEM NAME'!B7</f>
        <v>فاسؤليا</v>
      </c>
      <c r="M7" s="3">
        <f t="shared" ref="M7:M16" si="2">SUMIF(F:F,L7,I:I)</f>
        <v>0</v>
      </c>
    </row>
    <row r="8" spans="1:13" ht="26.25" x14ac:dyDescent="0.4">
      <c r="D8" s="4" t="str">
        <f>IFERROR(VLOOKUP(C8,'Suppler name'!A:B,2,FALSE),"")</f>
        <v/>
      </c>
      <c r="E8">
        <v>1</v>
      </c>
      <c r="F8" s="3" t="str">
        <f>IFERROR(VLOOKUP(E8,'ITEM NAME'!A:B,2,FALSE),"")</f>
        <v>برنج</v>
      </c>
      <c r="G8" s="18">
        <v>33</v>
      </c>
      <c r="H8">
        <v>3</v>
      </c>
      <c r="I8" s="16">
        <f t="shared" si="0"/>
        <v>99</v>
      </c>
      <c r="K8" s="3">
        <f t="shared" si="1"/>
        <v>66</v>
      </c>
      <c r="L8" s="15" t="str">
        <f>'ITEM NAME'!B8</f>
        <v>مريشك</v>
      </c>
      <c r="M8" s="3">
        <f t="shared" si="2"/>
        <v>220</v>
      </c>
    </row>
    <row r="9" spans="1:13" ht="26.25" x14ac:dyDescent="0.4">
      <c r="D9" s="4" t="str">
        <f>IFERROR(VLOOKUP(C9,'Suppler name'!A:B,2,FALSE),"")</f>
        <v/>
      </c>
      <c r="E9">
        <v>3</v>
      </c>
      <c r="F9" s="3" t="str">
        <f>IFERROR(VLOOKUP(E9,'ITEM NAME'!A:B,2,FALSE),"")</f>
        <v>مريشك</v>
      </c>
      <c r="G9" s="18">
        <v>44</v>
      </c>
      <c r="H9">
        <v>4</v>
      </c>
      <c r="I9" s="16">
        <f t="shared" si="0"/>
        <v>176</v>
      </c>
      <c r="K9" s="3">
        <f t="shared" si="1"/>
        <v>0</v>
      </c>
      <c r="L9" s="15">
        <f>'ITEM NAME'!B9</f>
        <v>0</v>
      </c>
      <c r="M9" s="3">
        <f t="shared" si="2"/>
        <v>0</v>
      </c>
    </row>
    <row r="10" spans="1:13" ht="26.25" x14ac:dyDescent="0.4">
      <c r="D10" s="4" t="str">
        <f>IFERROR(VLOOKUP(C10,'Suppler name'!A:B,2,FALSE),"")</f>
        <v/>
      </c>
      <c r="F10" s="3" t="str">
        <f>IFERROR(VLOOKUP(E10,'ITEM NAME'!A:B,2,FALSE),"")</f>
        <v/>
      </c>
      <c r="I10" s="16">
        <f t="shared" si="0"/>
        <v>0</v>
      </c>
      <c r="K10" s="3">
        <f t="shared" si="1"/>
        <v>0</v>
      </c>
      <c r="L10" s="15">
        <f>'ITEM NAME'!B10</f>
        <v>0</v>
      </c>
      <c r="M10" s="3">
        <f t="shared" si="2"/>
        <v>0</v>
      </c>
    </row>
    <row r="11" spans="1:13" ht="26.25" x14ac:dyDescent="0.4">
      <c r="D11" s="4" t="str">
        <f>IFERROR(VLOOKUP(C11,'Suppler name'!A:B,2,FALSE),"")</f>
        <v/>
      </c>
      <c r="F11" s="3" t="str">
        <f>IFERROR(VLOOKUP(E11,'ITEM NAME'!A:B,2,FALSE),"")</f>
        <v/>
      </c>
      <c r="I11" s="16">
        <f t="shared" si="0"/>
        <v>0</v>
      </c>
      <c r="K11" s="3">
        <f t="shared" si="1"/>
        <v>0</v>
      </c>
      <c r="L11" s="15">
        <f>'ITEM NAME'!B11</f>
        <v>0</v>
      </c>
      <c r="M11" s="3">
        <f t="shared" si="2"/>
        <v>0</v>
      </c>
    </row>
    <row r="12" spans="1:13" ht="26.25" x14ac:dyDescent="0.4">
      <c r="D12" s="4" t="str">
        <f>IFERROR(VLOOKUP(C12,'Suppler name'!A:B,2,FALSE),"")</f>
        <v/>
      </c>
      <c r="F12" s="3" t="str">
        <f>IFERROR(VLOOKUP(E12,'ITEM NAME'!A:B,2,FALSE),"")</f>
        <v/>
      </c>
      <c r="I12" s="16">
        <f t="shared" si="0"/>
        <v>0</v>
      </c>
      <c r="K12" s="3">
        <f t="shared" si="1"/>
        <v>0</v>
      </c>
      <c r="L12" s="15">
        <f>'ITEM NAME'!B12</f>
        <v>0</v>
      </c>
      <c r="M12" s="3">
        <f t="shared" si="2"/>
        <v>0</v>
      </c>
    </row>
    <row r="13" spans="1:13" ht="26.25" x14ac:dyDescent="0.4">
      <c r="D13" s="4" t="str">
        <f>IFERROR(VLOOKUP(C13,'Suppler name'!A:B,2,FALSE),"")</f>
        <v/>
      </c>
      <c r="F13" s="3" t="str">
        <f>IFERROR(VLOOKUP(E13,'ITEM NAME'!A:B,2,FALSE),"")</f>
        <v/>
      </c>
      <c r="I13" s="16">
        <f t="shared" si="0"/>
        <v>0</v>
      </c>
      <c r="K13" s="3">
        <f t="shared" si="1"/>
        <v>0</v>
      </c>
      <c r="L13" s="15">
        <f>'ITEM NAME'!B13</f>
        <v>0</v>
      </c>
      <c r="M13" s="3">
        <f t="shared" si="2"/>
        <v>0</v>
      </c>
    </row>
    <row r="14" spans="1:13" ht="26.25" x14ac:dyDescent="0.4">
      <c r="D14" s="4" t="str">
        <f>IFERROR(VLOOKUP(C14,'Suppler name'!A:B,2,FALSE),"")</f>
        <v/>
      </c>
      <c r="F14" s="3" t="str">
        <f>IFERROR(VLOOKUP(E14,'ITEM NAME'!A:B,2,FALSE),"")</f>
        <v/>
      </c>
      <c r="I14" s="16">
        <f t="shared" si="0"/>
        <v>0</v>
      </c>
      <c r="K14" s="3">
        <f t="shared" si="1"/>
        <v>0</v>
      </c>
      <c r="L14" s="15">
        <f>'ITEM NAME'!B14</f>
        <v>0</v>
      </c>
      <c r="M14" s="3">
        <f t="shared" si="2"/>
        <v>0</v>
      </c>
    </row>
    <row r="15" spans="1:13" ht="26.25" x14ac:dyDescent="0.4">
      <c r="D15" s="4" t="str">
        <f>IFERROR(VLOOKUP(C15,'Suppler name'!A:B,2,FALSE),"")</f>
        <v/>
      </c>
      <c r="F15" s="3" t="str">
        <f>IFERROR(VLOOKUP(E15,'ITEM NAME'!A:B,2,FALSE),"")</f>
        <v/>
      </c>
      <c r="I15" s="16">
        <f t="shared" si="0"/>
        <v>0</v>
      </c>
      <c r="K15" s="3">
        <f t="shared" si="1"/>
        <v>0</v>
      </c>
      <c r="L15" s="15">
        <f>'ITEM NAME'!B15</f>
        <v>0</v>
      </c>
      <c r="M15" s="3">
        <f t="shared" si="2"/>
        <v>0</v>
      </c>
    </row>
    <row r="16" spans="1:13" ht="26.25" x14ac:dyDescent="0.4">
      <c r="D16" s="4" t="str">
        <f>IFERROR(VLOOKUP(C16,'Suppler name'!A:B,2,FALSE),"")</f>
        <v/>
      </c>
      <c r="F16" s="3" t="str">
        <f>IFERROR(VLOOKUP(E16,'ITEM NAME'!A:B,2,FALSE),"")</f>
        <v/>
      </c>
      <c r="I16" s="16">
        <f t="shared" si="0"/>
        <v>0</v>
      </c>
      <c r="K16" s="3">
        <f t="shared" si="1"/>
        <v>0</v>
      </c>
      <c r="L16" s="15">
        <f>'ITEM NAME'!B16</f>
        <v>0</v>
      </c>
      <c r="M16" s="3">
        <f t="shared" si="2"/>
        <v>0</v>
      </c>
    </row>
    <row r="17" spans="4:9" ht="26.25" x14ac:dyDescent="0.4">
      <c r="D17" s="4" t="str">
        <f>IFERROR(VLOOKUP(C17,'Suppler name'!A:B,2,FALSE),"")</f>
        <v/>
      </c>
      <c r="F17" s="3" t="str">
        <f>IFERROR(VLOOKUP(E17,'ITEM NAME'!A:B,2,FALSE),"")</f>
        <v/>
      </c>
      <c r="I17" s="16">
        <f t="shared" si="0"/>
        <v>0</v>
      </c>
    </row>
    <row r="18" spans="4:9" ht="26.25" x14ac:dyDescent="0.4">
      <c r="D18" s="4" t="str">
        <f>IFERROR(VLOOKUP(C18,'Suppler name'!A:B,2,FALSE),"")</f>
        <v/>
      </c>
      <c r="F18" s="3" t="str">
        <f>IFERROR(VLOOKUP(E18,'ITEM NAME'!A:B,2,FALSE),"")</f>
        <v/>
      </c>
      <c r="I18" s="16">
        <f t="shared" si="0"/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1F211-B6EE-4D60-95AA-7DE0098AB8F6}">
  <dimension ref="A5:M18"/>
  <sheetViews>
    <sheetView rightToLeft="1" workbookViewId="0">
      <pane ySplit="5" topLeftCell="A6" activePane="bottomLeft" state="frozen"/>
      <selection pane="bottomLeft" activeCell="E13" sqref="E13"/>
    </sheetView>
  </sheetViews>
  <sheetFormatPr defaultRowHeight="15" x14ac:dyDescent="0.25"/>
  <cols>
    <col min="1" max="1" width="11.28515625" customWidth="1"/>
    <col min="2" max="2" width="9.140625" style="14"/>
    <col min="3" max="3" width="13.5703125" customWidth="1"/>
    <col min="4" max="4" width="22" customWidth="1"/>
    <col min="5" max="5" width="12.7109375" customWidth="1"/>
    <col min="6" max="6" width="26.140625" customWidth="1"/>
    <col min="7" max="7" width="12" style="18" customWidth="1"/>
    <col min="8" max="8" width="10.85546875" customWidth="1"/>
    <col min="9" max="9" width="13.42578125" customWidth="1"/>
    <col min="12" max="12" width="11.7109375" customWidth="1"/>
    <col min="13" max="13" width="13.140625" customWidth="1"/>
  </cols>
  <sheetData>
    <row r="5" spans="1:13" ht="36.950000000000003" customHeight="1" x14ac:dyDescent="0.25">
      <c r="A5" s="6" t="s">
        <v>4</v>
      </c>
      <c r="B5" s="13" t="s">
        <v>5</v>
      </c>
      <c r="C5" s="7" t="s">
        <v>22</v>
      </c>
      <c r="D5" s="7" t="s">
        <v>21</v>
      </c>
      <c r="E5" s="7" t="s">
        <v>11</v>
      </c>
      <c r="F5" s="7" t="s">
        <v>12</v>
      </c>
      <c r="G5" s="17" t="s">
        <v>6</v>
      </c>
      <c r="H5" s="8" t="s">
        <v>7</v>
      </c>
      <c r="I5" s="8" t="s">
        <v>8</v>
      </c>
      <c r="K5" s="17" t="s">
        <v>6</v>
      </c>
      <c r="L5" s="8" t="s">
        <v>16</v>
      </c>
      <c r="M5" s="8" t="s">
        <v>8</v>
      </c>
    </row>
    <row r="6" spans="1:13" ht="26.25" x14ac:dyDescent="0.4">
      <c r="B6" s="14">
        <v>45658</v>
      </c>
      <c r="C6" s="9">
        <v>1</v>
      </c>
      <c r="D6" s="4" t="str">
        <f>VLOOKUP(C6,'custmer name'!A:B,2,FALSE)</f>
        <v>داراین</v>
      </c>
      <c r="E6">
        <v>1</v>
      </c>
      <c r="F6" s="3" t="str">
        <f>IFERROR(VLOOKUP(E6,'ITEM NAME'!A:B,2,FALSE),"")</f>
        <v>برنج</v>
      </c>
      <c r="G6" s="18">
        <v>11</v>
      </c>
      <c r="H6">
        <v>1</v>
      </c>
      <c r="I6" s="16">
        <f>G6*H6</f>
        <v>11</v>
      </c>
      <c r="K6" s="3">
        <f>SUMIF(F:F,L6,G:G)</f>
        <v>44</v>
      </c>
      <c r="L6" s="15" t="str">
        <f>'ITEM NAME'!B6</f>
        <v>برنج</v>
      </c>
      <c r="M6" s="3">
        <f>SUMIF(F:F,L6,I:I)</f>
        <v>110</v>
      </c>
    </row>
    <row r="7" spans="1:13" ht="26.25" x14ac:dyDescent="0.4">
      <c r="B7" s="14">
        <v>45689</v>
      </c>
      <c r="C7" s="9">
        <v>2</v>
      </c>
      <c r="D7" s="4" t="str">
        <f>VLOOKUP(C7,'custmer name'!A:B,2,FALSE)</f>
        <v>جاستەر</v>
      </c>
      <c r="E7">
        <v>3</v>
      </c>
      <c r="F7" s="3" t="str">
        <f>IFERROR(VLOOKUP(E7,'ITEM NAME'!A:B,2,FALSE),"")</f>
        <v>مريشك</v>
      </c>
      <c r="G7" s="18">
        <v>22</v>
      </c>
      <c r="H7">
        <v>2</v>
      </c>
      <c r="I7" s="16">
        <f t="shared" ref="I7:I18" si="0">G7*H7</f>
        <v>44</v>
      </c>
      <c r="K7" s="3">
        <f t="shared" ref="K7:K16" si="1">SUMIF(F:F,L7,G:G)</f>
        <v>0</v>
      </c>
      <c r="L7" s="15" t="str">
        <f>'ITEM NAME'!B7</f>
        <v>فاسؤليا</v>
      </c>
      <c r="M7" s="3">
        <f t="shared" ref="M7:M16" si="2">SUMIF(F:F,L7,I:I)</f>
        <v>0</v>
      </c>
    </row>
    <row r="8" spans="1:13" ht="26.25" x14ac:dyDescent="0.4">
      <c r="D8" s="4" t="e">
        <f>VLOOKUP(C8,'custmer name'!A:B,2,FALSE)</f>
        <v>#N/A</v>
      </c>
      <c r="E8">
        <v>1</v>
      </c>
      <c r="F8" s="3" t="str">
        <f>IFERROR(VLOOKUP(E8,'ITEM NAME'!A:B,2,FALSE),"")</f>
        <v>برنج</v>
      </c>
      <c r="G8" s="18">
        <v>33</v>
      </c>
      <c r="H8">
        <v>3</v>
      </c>
      <c r="I8" s="16">
        <f t="shared" si="0"/>
        <v>99</v>
      </c>
      <c r="K8" s="3">
        <f t="shared" si="1"/>
        <v>66</v>
      </c>
      <c r="L8" s="15" t="str">
        <f>'ITEM NAME'!B8</f>
        <v>مريشك</v>
      </c>
      <c r="M8" s="3">
        <f t="shared" si="2"/>
        <v>220</v>
      </c>
    </row>
    <row r="9" spans="1:13" ht="26.25" x14ac:dyDescent="0.4">
      <c r="D9" s="4" t="e">
        <f>VLOOKUP(C9,'custmer name'!A:B,2,FALSE)</f>
        <v>#N/A</v>
      </c>
      <c r="E9">
        <v>3</v>
      </c>
      <c r="F9" s="3" t="str">
        <f>IFERROR(VLOOKUP(E9,'ITEM NAME'!A:B,2,FALSE),"")</f>
        <v>مريشك</v>
      </c>
      <c r="G9" s="18">
        <v>44</v>
      </c>
      <c r="H9">
        <v>4</v>
      </c>
      <c r="I9" s="16">
        <f t="shared" si="0"/>
        <v>176</v>
      </c>
      <c r="K9" s="3">
        <f t="shared" si="1"/>
        <v>0</v>
      </c>
      <c r="L9" s="15">
        <f>'ITEM NAME'!B9</f>
        <v>0</v>
      </c>
      <c r="M9" s="3">
        <f t="shared" si="2"/>
        <v>0</v>
      </c>
    </row>
    <row r="10" spans="1:13" ht="26.25" x14ac:dyDescent="0.4">
      <c r="C10">
        <v>2</v>
      </c>
      <c r="D10" s="4" t="str">
        <f>IFERROR(VLOOKUP(C10,'Suppler name'!A:B,2,FALSE),"")</f>
        <v>داریان</v>
      </c>
      <c r="F10" s="3" t="str">
        <f>IFERROR(VLOOKUP(E10,'ITEM NAME'!A:B,2,FALSE),"")</f>
        <v/>
      </c>
      <c r="I10" s="16">
        <f t="shared" si="0"/>
        <v>0</v>
      </c>
      <c r="K10" s="3">
        <f t="shared" si="1"/>
        <v>0</v>
      </c>
      <c r="L10" s="15">
        <f>'ITEM NAME'!B10</f>
        <v>0</v>
      </c>
      <c r="M10" s="3">
        <f t="shared" si="2"/>
        <v>0</v>
      </c>
    </row>
    <row r="11" spans="1:13" ht="26.25" x14ac:dyDescent="0.4">
      <c r="D11" s="4" t="str">
        <f>IFERROR(VLOOKUP(C11,'Suppler name'!A:B,2,FALSE),"")</f>
        <v/>
      </c>
      <c r="F11" s="3" t="str">
        <f>IFERROR(VLOOKUP(E11,'ITEM NAME'!A:B,2,FALSE),"")</f>
        <v/>
      </c>
      <c r="I11" s="16">
        <f t="shared" si="0"/>
        <v>0</v>
      </c>
      <c r="K11" s="3">
        <f t="shared" si="1"/>
        <v>0</v>
      </c>
      <c r="L11" s="15">
        <f>'ITEM NAME'!B11</f>
        <v>0</v>
      </c>
      <c r="M11" s="3">
        <f t="shared" si="2"/>
        <v>0</v>
      </c>
    </row>
    <row r="12" spans="1:13" ht="26.25" x14ac:dyDescent="0.4">
      <c r="D12" s="4" t="str">
        <f>IFERROR(VLOOKUP(C12,'Suppler name'!A:B,2,FALSE),"")</f>
        <v/>
      </c>
      <c r="F12" s="3" t="str">
        <f>IFERROR(VLOOKUP(E12,'ITEM NAME'!A:B,2,FALSE),"")</f>
        <v/>
      </c>
      <c r="I12" s="16">
        <f t="shared" si="0"/>
        <v>0</v>
      </c>
      <c r="K12" s="3">
        <f t="shared" si="1"/>
        <v>0</v>
      </c>
      <c r="L12" s="15">
        <f>'ITEM NAME'!B12</f>
        <v>0</v>
      </c>
      <c r="M12" s="3">
        <f t="shared" si="2"/>
        <v>0</v>
      </c>
    </row>
    <row r="13" spans="1:13" ht="26.25" x14ac:dyDescent="0.4">
      <c r="D13" s="4" t="str">
        <f>IFERROR(VLOOKUP(C13,'Suppler name'!A:B,2,FALSE),"")</f>
        <v/>
      </c>
      <c r="F13" s="3" t="str">
        <f>IFERROR(VLOOKUP(E13,'ITEM NAME'!A:B,2,FALSE),"")</f>
        <v/>
      </c>
      <c r="I13" s="16">
        <f t="shared" si="0"/>
        <v>0</v>
      </c>
      <c r="K13" s="3">
        <f t="shared" si="1"/>
        <v>0</v>
      </c>
      <c r="L13" s="15">
        <f>'ITEM NAME'!B13</f>
        <v>0</v>
      </c>
      <c r="M13" s="3">
        <f t="shared" si="2"/>
        <v>0</v>
      </c>
    </row>
    <row r="14" spans="1:13" ht="26.25" x14ac:dyDescent="0.4">
      <c r="D14" s="4" t="str">
        <f>IFERROR(VLOOKUP(C14,'Suppler name'!A:B,2,FALSE),"")</f>
        <v/>
      </c>
      <c r="F14" s="3" t="str">
        <f>IFERROR(VLOOKUP(E14,'ITEM NAME'!A:B,2,FALSE),"")</f>
        <v/>
      </c>
      <c r="I14" s="16">
        <f t="shared" si="0"/>
        <v>0</v>
      </c>
      <c r="K14" s="3">
        <f t="shared" si="1"/>
        <v>0</v>
      </c>
      <c r="L14" s="15">
        <f>'ITEM NAME'!B14</f>
        <v>0</v>
      </c>
      <c r="M14" s="3">
        <f t="shared" si="2"/>
        <v>0</v>
      </c>
    </row>
    <row r="15" spans="1:13" ht="26.25" x14ac:dyDescent="0.4">
      <c r="D15" s="4" t="str">
        <f>IFERROR(VLOOKUP(C15,'Suppler name'!A:B,2,FALSE),"")</f>
        <v/>
      </c>
      <c r="F15" s="3" t="str">
        <f>IFERROR(VLOOKUP(E15,'ITEM NAME'!A:B,2,FALSE),"")</f>
        <v/>
      </c>
      <c r="I15" s="16">
        <f t="shared" si="0"/>
        <v>0</v>
      </c>
      <c r="K15" s="3">
        <f t="shared" si="1"/>
        <v>0</v>
      </c>
      <c r="L15" s="15">
        <f>'ITEM NAME'!B15</f>
        <v>0</v>
      </c>
      <c r="M15" s="3">
        <f t="shared" si="2"/>
        <v>0</v>
      </c>
    </row>
    <row r="16" spans="1:13" ht="26.25" x14ac:dyDescent="0.4">
      <c r="D16" s="4" t="str">
        <f>IFERROR(VLOOKUP(C16,'Suppler name'!A:B,2,FALSE),"")</f>
        <v/>
      </c>
      <c r="F16" s="3" t="str">
        <f>IFERROR(VLOOKUP(E16,'ITEM NAME'!A:B,2,FALSE),"")</f>
        <v/>
      </c>
      <c r="I16" s="16">
        <f t="shared" si="0"/>
        <v>0</v>
      </c>
      <c r="K16" s="3">
        <f t="shared" si="1"/>
        <v>0</v>
      </c>
      <c r="L16" s="15">
        <f>'ITEM NAME'!B16</f>
        <v>0</v>
      </c>
      <c r="M16" s="3">
        <f t="shared" si="2"/>
        <v>0</v>
      </c>
    </row>
    <row r="17" spans="4:9" ht="26.25" x14ac:dyDescent="0.4">
      <c r="D17" s="4" t="str">
        <f>IFERROR(VLOOKUP(C17,'Suppler name'!A:B,2,FALSE),"")</f>
        <v/>
      </c>
      <c r="F17" s="3" t="str">
        <f>IFERROR(VLOOKUP(E17,'ITEM NAME'!A:B,2,FALSE),"")</f>
        <v/>
      </c>
      <c r="I17" s="16">
        <f t="shared" si="0"/>
        <v>0</v>
      </c>
    </row>
    <row r="18" spans="4:9" ht="26.25" x14ac:dyDescent="0.4">
      <c r="D18" s="4" t="str">
        <f>IFERROR(VLOOKUP(C18,'Suppler name'!A:B,2,FALSE),"")</f>
        <v/>
      </c>
      <c r="F18" s="3" t="str">
        <f>IFERROR(VLOOKUP(E18,'ITEM NAME'!A:B,2,FALSE),"")</f>
        <v/>
      </c>
      <c r="I18" s="16">
        <f t="shared" si="0"/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83494-B1E9-4B2E-B43A-5B65F09580D1}">
  <dimension ref="A2:M18"/>
  <sheetViews>
    <sheetView rightToLeft="1" tabSelected="1" workbookViewId="0">
      <pane ySplit="5" topLeftCell="A6" activePane="bottomLeft" state="frozen"/>
      <selection pane="bottomLeft" activeCell="E7" sqref="E7"/>
    </sheetView>
  </sheetViews>
  <sheetFormatPr defaultRowHeight="15" x14ac:dyDescent="0.25"/>
  <cols>
    <col min="1" max="1" width="11.28515625" customWidth="1"/>
    <col min="2" max="2" width="9.140625" style="14"/>
    <col min="3" max="3" width="13.5703125" customWidth="1"/>
    <col min="4" max="4" width="22" customWidth="1"/>
    <col min="5" max="5" width="12.7109375" customWidth="1"/>
    <col min="6" max="6" width="26.140625" customWidth="1"/>
    <col min="7" max="7" width="12" style="18" customWidth="1"/>
    <col min="8" max="8" width="10.85546875" customWidth="1"/>
    <col min="9" max="9" width="13.42578125" customWidth="1"/>
    <col min="12" max="12" width="11.7109375" customWidth="1"/>
    <col min="13" max="13" width="13.140625" customWidth="1"/>
  </cols>
  <sheetData>
    <row r="2" spans="1:13" ht="21" x14ac:dyDescent="0.25">
      <c r="C2" s="7" t="s">
        <v>22</v>
      </c>
      <c r="D2" s="7" t="s">
        <v>21</v>
      </c>
    </row>
    <row r="3" spans="1:13" ht="26.25" x14ac:dyDescent="0.4">
      <c r="C3" s="9">
        <v>1</v>
      </c>
      <c r="D3" s="4" t="str">
        <f>VLOOKUP(C3,'custmer name'!A:B,2,FALSE)</f>
        <v>داراین</v>
      </c>
    </row>
    <row r="5" spans="1:13" ht="36.950000000000003" customHeight="1" x14ac:dyDescent="0.25">
      <c r="A5" s="6" t="s">
        <v>4</v>
      </c>
      <c r="B5" s="13" t="s">
        <v>5</v>
      </c>
      <c r="C5" s="7" t="s">
        <v>22</v>
      </c>
      <c r="D5" s="7" t="s">
        <v>21</v>
      </c>
      <c r="E5" s="7" t="s">
        <v>11</v>
      </c>
      <c r="F5" s="7" t="s">
        <v>12</v>
      </c>
      <c r="G5" s="17" t="s">
        <v>6</v>
      </c>
      <c r="H5" s="8" t="s">
        <v>7</v>
      </c>
      <c r="I5" s="8" t="s">
        <v>8</v>
      </c>
      <c r="K5" s="17" t="s">
        <v>6</v>
      </c>
      <c r="L5" s="8" t="s">
        <v>16</v>
      </c>
      <c r="M5" s="8" t="s">
        <v>8</v>
      </c>
    </row>
    <row r="6" spans="1:13" ht="26.25" x14ac:dyDescent="0.4">
      <c r="B6" s="14">
        <v>45658</v>
      </c>
      <c r="C6" s="9">
        <v>1</v>
      </c>
      <c r="D6" s="4" t="s">
        <v>19</v>
      </c>
      <c r="E6">
        <v>1</v>
      </c>
      <c r="F6" s="3" t="s">
        <v>13</v>
      </c>
      <c r="G6" s="18">
        <v>11</v>
      </c>
      <c r="H6">
        <v>1</v>
      </c>
      <c r="I6" s="16">
        <v>11</v>
      </c>
      <c r="K6" s="18">
        <v>11</v>
      </c>
      <c r="L6" s="15" t="s">
        <v>13</v>
      </c>
      <c r="M6" s="16">
        <v>11</v>
      </c>
    </row>
    <row r="7" spans="1:13" ht="26.25" x14ac:dyDescent="0.4">
      <c r="C7" s="9"/>
      <c r="D7" s="4"/>
      <c r="F7" s="3"/>
      <c r="I7" s="16"/>
      <c r="K7" s="3"/>
      <c r="L7" s="15"/>
      <c r="M7" s="3"/>
    </row>
    <row r="8" spans="1:13" ht="26.25" x14ac:dyDescent="0.4">
      <c r="D8" s="4"/>
      <c r="F8" s="3"/>
      <c r="I8" s="16"/>
      <c r="K8" s="3"/>
      <c r="L8" s="15"/>
      <c r="M8" s="3"/>
    </row>
    <row r="9" spans="1:13" ht="26.25" x14ac:dyDescent="0.4">
      <c r="D9" s="4"/>
      <c r="F9" s="3"/>
      <c r="I9" s="16"/>
      <c r="K9" s="3"/>
      <c r="L9" s="15"/>
      <c r="M9" s="3"/>
    </row>
    <row r="10" spans="1:13" ht="26.25" x14ac:dyDescent="0.4">
      <c r="D10" s="4"/>
      <c r="F10" s="3"/>
      <c r="I10" s="16"/>
      <c r="K10" s="3"/>
      <c r="L10" s="15"/>
      <c r="M10" s="3"/>
    </row>
    <row r="11" spans="1:13" ht="26.25" x14ac:dyDescent="0.4">
      <c r="D11" s="4"/>
      <c r="F11" s="3"/>
      <c r="I11" s="16"/>
      <c r="K11" s="3"/>
      <c r="L11" s="15"/>
      <c r="M11" s="3"/>
    </row>
    <row r="12" spans="1:13" ht="26.25" x14ac:dyDescent="0.4">
      <c r="D12" s="4"/>
      <c r="F12" s="3"/>
      <c r="I12" s="16"/>
      <c r="K12" s="3"/>
      <c r="L12" s="15"/>
      <c r="M12" s="3"/>
    </row>
    <row r="13" spans="1:13" ht="26.25" x14ac:dyDescent="0.4">
      <c r="D13" s="4"/>
      <c r="F13" s="3"/>
      <c r="I13" s="16"/>
      <c r="K13" s="3"/>
      <c r="L13" s="15"/>
      <c r="M13" s="3"/>
    </row>
    <row r="14" spans="1:13" ht="26.25" x14ac:dyDescent="0.4">
      <c r="D14" s="4"/>
      <c r="F14" s="3"/>
      <c r="I14" s="16"/>
      <c r="K14" s="3"/>
      <c r="L14" s="15"/>
      <c r="M14" s="3"/>
    </row>
    <row r="15" spans="1:13" ht="26.25" x14ac:dyDescent="0.4">
      <c r="D15" s="4"/>
      <c r="F15" s="3"/>
      <c r="I15" s="16"/>
      <c r="K15" s="3"/>
      <c r="L15" s="15"/>
      <c r="M15" s="3"/>
    </row>
    <row r="16" spans="1:13" ht="26.25" x14ac:dyDescent="0.4">
      <c r="D16" s="4"/>
      <c r="F16" s="3"/>
      <c r="I16" s="16"/>
      <c r="K16" s="3"/>
      <c r="L16" s="15"/>
      <c r="M16" s="3"/>
    </row>
    <row r="17" spans="4:9" ht="26.25" x14ac:dyDescent="0.4">
      <c r="D17" s="4"/>
      <c r="F17" s="3"/>
      <c r="I17" s="16"/>
    </row>
    <row r="18" spans="4:9" ht="26.25" x14ac:dyDescent="0.4">
      <c r="D18" s="4"/>
      <c r="F18" s="3"/>
      <c r="I18" s="1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Macro1">
                <anchor moveWithCells="1" sizeWithCells="1">
                  <from>
                    <xdr:col>11</xdr:col>
                    <xdr:colOff>314325</xdr:colOff>
                    <xdr:row>1</xdr:row>
                    <xdr:rowOff>190500</xdr:rowOff>
                  </from>
                  <to>
                    <xdr:col>13</xdr:col>
                    <xdr:colOff>133350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5:M18"/>
  <sheetViews>
    <sheetView rightToLeft="1" workbookViewId="0">
      <pane ySplit="5" topLeftCell="A9" activePane="bottomLeft" state="frozen"/>
      <selection pane="bottomLeft" activeCell="C8" sqref="C8"/>
    </sheetView>
  </sheetViews>
  <sheetFormatPr defaultRowHeight="15" x14ac:dyDescent="0.25"/>
  <cols>
    <col min="1" max="1" width="11.28515625" customWidth="1"/>
    <col min="2" max="2" width="8.7109375" style="14"/>
    <col min="3" max="3" width="13.5703125" customWidth="1"/>
    <col min="4" max="4" width="22" customWidth="1"/>
    <col min="5" max="5" width="12.7109375" customWidth="1"/>
    <col min="6" max="6" width="26.140625" customWidth="1"/>
    <col min="7" max="7" width="12" style="18" customWidth="1"/>
    <col min="8" max="8" width="10.85546875" customWidth="1"/>
    <col min="9" max="9" width="13.42578125" customWidth="1"/>
    <col min="12" max="12" width="11.7109375" customWidth="1"/>
    <col min="13" max="13" width="13.140625" customWidth="1"/>
  </cols>
  <sheetData>
    <row r="5" spans="1:13" ht="36.950000000000003" customHeight="1" x14ac:dyDescent="0.25">
      <c r="A5" s="6" t="s">
        <v>4</v>
      </c>
      <c r="B5" s="13" t="s">
        <v>5</v>
      </c>
      <c r="C5" s="7" t="s">
        <v>22</v>
      </c>
      <c r="D5" s="7" t="s">
        <v>21</v>
      </c>
      <c r="E5" s="7" t="s">
        <v>11</v>
      </c>
      <c r="F5" s="7" t="s">
        <v>12</v>
      </c>
      <c r="G5" s="17" t="s">
        <v>6</v>
      </c>
      <c r="H5" s="8" t="s">
        <v>7</v>
      </c>
      <c r="I5" s="8" t="s">
        <v>8</v>
      </c>
      <c r="K5" s="17" t="s">
        <v>6</v>
      </c>
      <c r="L5" s="8" t="s">
        <v>16</v>
      </c>
      <c r="M5" s="8" t="s">
        <v>8</v>
      </c>
    </row>
    <row r="6" spans="1:13" ht="26.25" x14ac:dyDescent="0.4">
      <c r="B6" s="14">
        <v>45658</v>
      </c>
      <c r="C6" s="9">
        <v>1</v>
      </c>
      <c r="D6" s="4" t="str">
        <f>VLOOKUP(C6,'custmer name'!A:B,2,FALSE)</f>
        <v>داراین</v>
      </c>
      <c r="E6">
        <v>1</v>
      </c>
      <c r="F6" s="3" t="str">
        <f>IFERROR(VLOOKUP(E6,'ITEM NAME'!A:B,2,FALSE),"")</f>
        <v>برنج</v>
      </c>
      <c r="G6" s="18">
        <v>11</v>
      </c>
      <c r="H6">
        <v>1</v>
      </c>
      <c r="I6" s="16">
        <f>G6*H6</f>
        <v>11</v>
      </c>
      <c r="K6" s="3">
        <f>SUMIF(F:F,L6,G:G)</f>
        <v>44</v>
      </c>
      <c r="L6" s="15" t="str">
        <f>'ITEM NAME'!B6</f>
        <v>برنج</v>
      </c>
      <c r="M6" s="3">
        <f>SUMIF(F:F,L6,I:I)</f>
        <v>110</v>
      </c>
    </row>
    <row r="7" spans="1:13" ht="26.25" x14ac:dyDescent="0.4">
      <c r="B7" s="14">
        <v>45689</v>
      </c>
      <c r="C7" s="9">
        <v>2</v>
      </c>
      <c r="D7" s="4" t="str">
        <f>VLOOKUP(C7,'custmer name'!A:B,2,FALSE)</f>
        <v>جاستەر</v>
      </c>
      <c r="E7">
        <v>3</v>
      </c>
      <c r="F7" s="3" t="str">
        <f>IFERROR(VLOOKUP(E7,'ITEM NAME'!A:B,2,FALSE),"")</f>
        <v>مريشك</v>
      </c>
      <c r="G7" s="18">
        <v>22</v>
      </c>
      <c r="H7">
        <v>2</v>
      </c>
      <c r="I7" s="16">
        <f t="shared" ref="I7:I18" si="0">G7*H7</f>
        <v>44</v>
      </c>
      <c r="K7" s="3">
        <f t="shared" ref="K7:K16" si="1">SUMIF(F:F,L7,G:G)</f>
        <v>0</v>
      </c>
      <c r="L7" s="15" t="str">
        <f>'ITEM NAME'!B7</f>
        <v>فاسؤليا</v>
      </c>
      <c r="M7" s="3">
        <f t="shared" ref="M7:M16" si="2">SUMIF(F:F,L7,I:I)</f>
        <v>0</v>
      </c>
    </row>
    <row r="8" spans="1:13" ht="26.25" x14ac:dyDescent="0.4">
      <c r="D8" s="4" t="e">
        <f>VLOOKUP(C8,'custmer name'!A:B,2,FALSE)</f>
        <v>#N/A</v>
      </c>
      <c r="E8">
        <v>1</v>
      </c>
      <c r="F8" s="3" t="str">
        <f>IFERROR(VLOOKUP(E8,'ITEM NAME'!A:B,2,FALSE),"")</f>
        <v>برنج</v>
      </c>
      <c r="G8" s="18">
        <v>33</v>
      </c>
      <c r="H8">
        <v>3</v>
      </c>
      <c r="I8" s="16">
        <f t="shared" si="0"/>
        <v>99</v>
      </c>
      <c r="K8" s="3">
        <f t="shared" si="1"/>
        <v>66</v>
      </c>
      <c r="L8" s="15" t="str">
        <f>'ITEM NAME'!B8</f>
        <v>مريشك</v>
      </c>
      <c r="M8" s="3">
        <f t="shared" si="2"/>
        <v>220</v>
      </c>
    </row>
    <row r="9" spans="1:13" ht="26.25" x14ac:dyDescent="0.4">
      <c r="D9" s="4" t="e">
        <f>VLOOKUP(C9,'custmer name'!A:B,2,FALSE)</f>
        <v>#N/A</v>
      </c>
      <c r="E9">
        <v>3</v>
      </c>
      <c r="F9" s="3" t="str">
        <f>IFERROR(VLOOKUP(E9,'ITEM NAME'!A:B,2,FALSE),"")</f>
        <v>مريشك</v>
      </c>
      <c r="G9" s="18">
        <v>44</v>
      </c>
      <c r="H9">
        <v>4</v>
      </c>
      <c r="I9" s="16">
        <f t="shared" si="0"/>
        <v>176</v>
      </c>
      <c r="K9" s="3">
        <f t="shared" si="1"/>
        <v>0</v>
      </c>
      <c r="L9" s="15">
        <f>'ITEM NAME'!B9</f>
        <v>0</v>
      </c>
      <c r="M9" s="3">
        <f t="shared" si="2"/>
        <v>0</v>
      </c>
    </row>
    <row r="10" spans="1:13" ht="26.25" x14ac:dyDescent="0.4">
      <c r="C10">
        <v>2</v>
      </c>
      <c r="D10" s="4" t="str">
        <f>IFERROR(VLOOKUP(C10,'Suppler name'!A:B,2,FALSE),"")</f>
        <v>داریان</v>
      </c>
      <c r="F10" s="3" t="str">
        <f>IFERROR(VLOOKUP(E10,'ITEM NAME'!A:B,2,FALSE),"")</f>
        <v/>
      </c>
      <c r="I10" s="16">
        <f t="shared" si="0"/>
        <v>0</v>
      </c>
      <c r="K10" s="3">
        <f t="shared" si="1"/>
        <v>0</v>
      </c>
      <c r="L10" s="15">
        <f>'ITEM NAME'!B10</f>
        <v>0</v>
      </c>
      <c r="M10" s="3">
        <f t="shared" si="2"/>
        <v>0</v>
      </c>
    </row>
    <row r="11" spans="1:13" ht="26.25" x14ac:dyDescent="0.4">
      <c r="D11" s="4" t="str">
        <f>IFERROR(VLOOKUP(C11,'Suppler name'!A:B,2,FALSE),"")</f>
        <v/>
      </c>
      <c r="F11" s="3" t="str">
        <f>IFERROR(VLOOKUP(E11,'ITEM NAME'!A:B,2,FALSE),"")</f>
        <v/>
      </c>
      <c r="I11" s="16">
        <f t="shared" si="0"/>
        <v>0</v>
      </c>
      <c r="K11" s="3">
        <f t="shared" si="1"/>
        <v>0</v>
      </c>
      <c r="L11" s="15">
        <f>'ITEM NAME'!B11</f>
        <v>0</v>
      </c>
      <c r="M11" s="3">
        <f t="shared" si="2"/>
        <v>0</v>
      </c>
    </row>
    <row r="12" spans="1:13" ht="26.25" x14ac:dyDescent="0.4">
      <c r="D12" s="4" t="str">
        <f>IFERROR(VLOOKUP(C12,'Suppler name'!A:B,2,FALSE),"")</f>
        <v/>
      </c>
      <c r="F12" s="3" t="str">
        <f>IFERROR(VLOOKUP(E12,'ITEM NAME'!A:B,2,FALSE),"")</f>
        <v/>
      </c>
      <c r="I12" s="16">
        <f t="shared" si="0"/>
        <v>0</v>
      </c>
      <c r="K12" s="3">
        <f t="shared" si="1"/>
        <v>0</v>
      </c>
      <c r="L12" s="15">
        <f>'ITEM NAME'!B12</f>
        <v>0</v>
      </c>
      <c r="M12" s="3">
        <f t="shared" si="2"/>
        <v>0</v>
      </c>
    </row>
    <row r="13" spans="1:13" ht="26.25" x14ac:dyDescent="0.4">
      <c r="D13" s="4" t="str">
        <f>IFERROR(VLOOKUP(C13,'Suppler name'!A:B,2,FALSE),"")</f>
        <v/>
      </c>
      <c r="F13" s="3" t="str">
        <f>IFERROR(VLOOKUP(E13,'ITEM NAME'!A:B,2,FALSE),"")</f>
        <v/>
      </c>
      <c r="I13" s="16">
        <f t="shared" si="0"/>
        <v>0</v>
      </c>
      <c r="K13" s="3">
        <f t="shared" si="1"/>
        <v>0</v>
      </c>
      <c r="L13" s="15">
        <f>'ITEM NAME'!B13</f>
        <v>0</v>
      </c>
      <c r="M13" s="3">
        <f t="shared" si="2"/>
        <v>0</v>
      </c>
    </row>
    <row r="14" spans="1:13" ht="26.25" x14ac:dyDescent="0.4">
      <c r="D14" s="4" t="str">
        <f>IFERROR(VLOOKUP(C14,'Suppler name'!A:B,2,FALSE),"")</f>
        <v/>
      </c>
      <c r="F14" s="3" t="str">
        <f>IFERROR(VLOOKUP(E14,'ITEM NAME'!A:B,2,FALSE),"")</f>
        <v/>
      </c>
      <c r="I14" s="16">
        <f t="shared" si="0"/>
        <v>0</v>
      </c>
      <c r="K14" s="3">
        <f t="shared" si="1"/>
        <v>0</v>
      </c>
      <c r="L14" s="15">
        <f>'ITEM NAME'!B14</f>
        <v>0</v>
      </c>
      <c r="M14" s="3">
        <f t="shared" si="2"/>
        <v>0</v>
      </c>
    </row>
    <row r="15" spans="1:13" ht="26.25" x14ac:dyDescent="0.4">
      <c r="D15" s="4" t="str">
        <f>IFERROR(VLOOKUP(C15,'Suppler name'!A:B,2,FALSE),"")</f>
        <v/>
      </c>
      <c r="F15" s="3" t="str">
        <f>IFERROR(VLOOKUP(E15,'ITEM NAME'!A:B,2,FALSE),"")</f>
        <v/>
      </c>
      <c r="I15" s="16">
        <f t="shared" si="0"/>
        <v>0</v>
      </c>
      <c r="K15" s="3">
        <f t="shared" si="1"/>
        <v>0</v>
      </c>
      <c r="L15" s="15">
        <f>'ITEM NAME'!B15</f>
        <v>0</v>
      </c>
      <c r="M15" s="3">
        <f t="shared" si="2"/>
        <v>0</v>
      </c>
    </row>
    <row r="16" spans="1:13" ht="26.25" x14ac:dyDescent="0.4">
      <c r="D16" s="4" t="str">
        <f>IFERROR(VLOOKUP(C16,'Suppler name'!A:B,2,FALSE),"")</f>
        <v/>
      </c>
      <c r="F16" s="3" t="str">
        <f>IFERROR(VLOOKUP(E16,'ITEM NAME'!A:B,2,FALSE),"")</f>
        <v/>
      </c>
      <c r="I16" s="16">
        <f t="shared" si="0"/>
        <v>0</v>
      </c>
      <c r="K16" s="3">
        <f t="shared" si="1"/>
        <v>0</v>
      </c>
      <c r="L16" s="15">
        <f>'ITEM NAME'!B16</f>
        <v>0</v>
      </c>
      <c r="M16" s="3">
        <f t="shared" si="2"/>
        <v>0</v>
      </c>
    </row>
    <row r="17" spans="4:9" ht="26.25" x14ac:dyDescent="0.4">
      <c r="D17" s="4" t="str">
        <f>IFERROR(VLOOKUP(C17,'Suppler name'!A:B,2,FALSE),"")</f>
        <v/>
      </c>
      <c r="F17" s="3" t="str">
        <f>IFERROR(VLOOKUP(E17,'ITEM NAME'!A:B,2,FALSE),"")</f>
        <v/>
      </c>
      <c r="I17" s="16">
        <f t="shared" si="0"/>
        <v>0</v>
      </c>
    </row>
    <row r="18" spans="4:9" ht="26.25" x14ac:dyDescent="0.4">
      <c r="D18" s="4" t="str">
        <f>IFERROR(VLOOKUP(C18,'Suppler name'!A:B,2,FALSE),"")</f>
        <v/>
      </c>
      <c r="F18" s="3" t="str">
        <f>IFERROR(VLOOKUP(E18,'ITEM NAME'!A:B,2,FALSE),"")</f>
        <v/>
      </c>
      <c r="I18" s="16">
        <f t="shared" si="0"/>
        <v>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5:B7"/>
  <sheetViews>
    <sheetView rightToLeft="1" workbookViewId="0"/>
  </sheetViews>
  <sheetFormatPr defaultRowHeight="15" x14ac:dyDescent="0.25"/>
  <cols>
    <col min="1" max="1" width="10.5703125" customWidth="1"/>
    <col min="2" max="2" width="22.42578125" customWidth="1"/>
  </cols>
  <sheetData>
    <row r="5" spans="1:2" ht="31.5" x14ac:dyDescent="0.5">
      <c r="A5" s="5" t="s">
        <v>0</v>
      </c>
      <c r="B5" s="5" t="s">
        <v>2</v>
      </c>
    </row>
    <row r="6" spans="1:2" ht="28.5" x14ac:dyDescent="0.45">
      <c r="A6" s="11">
        <v>1</v>
      </c>
      <c r="B6" s="12" t="s">
        <v>17</v>
      </c>
    </row>
    <row r="7" spans="1:2" ht="28.5" x14ac:dyDescent="0.45">
      <c r="A7" s="11">
        <v>2</v>
      </c>
      <c r="B7" s="12" t="s">
        <v>18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5:B7"/>
  <sheetViews>
    <sheetView rightToLeft="1" workbookViewId="0"/>
  </sheetViews>
  <sheetFormatPr defaultRowHeight="15" x14ac:dyDescent="0.25"/>
  <cols>
    <col min="1" max="1" width="10.5703125" customWidth="1"/>
    <col min="2" max="2" width="22.42578125" customWidth="1"/>
  </cols>
  <sheetData>
    <row r="5" spans="1:2" ht="31.5" x14ac:dyDescent="0.5">
      <c r="A5" s="5" t="s">
        <v>0</v>
      </c>
      <c r="B5" s="5" t="s">
        <v>3</v>
      </c>
    </row>
    <row r="6" spans="1:2" ht="21" x14ac:dyDescent="0.35">
      <c r="A6" s="10">
        <v>1</v>
      </c>
      <c r="B6" s="2" t="s">
        <v>19</v>
      </c>
    </row>
    <row r="7" spans="1:2" ht="21" x14ac:dyDescent="0.35">
      <c r="A7" s="10">
        <v>2</v>
      </c>
      <c r="B7" s="2" t="s">
        <v>20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5:B8"/>
  <sheetViews>
    <sheetView rightToLeft="1" workbookViewId="0"/>
  </sheetViews>
  <sheetFormatPr defaultRowHeight="15" x14ac:dyDescent="0.25"/>
  <cols>
    <col min="1" max="1" width="10.5703125" customWidth="1"/>
    <col min="2" max="2" width="22.42578125" customWidth="1"/>
  </cols>
  <sheetData>
    <row r="5" spans="1:2" ht="31.5" x14ac:dyDescent="0.5">
      <c r="A5" s="5" t="s">
        <v>0</v>
      </c>
      <c r="B5" s="5" t="s">
        <v>1</v>
      </c>
    </row>
    <row r="6" spans="1:2" x14ac:dyDescent="0.25">
      <c r="A6">
        <v>1</v>
      </c>
      <c r="B6" t="s">
        <v>13</v>
      </c>
    </row>
    <row r="7" spans="1:2" x14ac:dyDescent="0.25">
      <c r="A7">
        <v>2</v>
      </c>
      <c r="B7" t="s">
        <v>14</v>
      </c>
    </row>
    <row r="8" spans="1:2" x14ac:dyDescent="0.25">
      <c r="A8">
        <v>3</v>
      </c>
      <c r="B8" t="s">
        <v>15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HOME</vt:lpstr>
      <vt:lpstr>purchies return</vt:lpstr>
      <vt:lpstr>expire and damage</vt:lpstr>
      <vt:lpstr>return sell</vt:lpstr>
      <vt:lpstr>report customer</vt:lpstr>
      <vt:lpstr>sell</vt:lpstr>
      <vt:lpstr>Suppler name</vt:lpstr>
      <vt:lpstr>custmer name</vt:lpstr>
      <vt:lpstr>ITEM NAME</vt:lpstr>
      <vt:lpstr>'report customer'!Criteria</vt:lpstr>
      <vt:lpstr>'report customer'!Extract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Muayyad</dc:creator>
  <cp:lastModifiedBy>a13196</cp:lastModifiedBy>
  <dcterms:created xsi:type="dcterms:W3CDTF">2025-07-29T15:11:05Z</dcterms:created>
  <dcterms:modified xsi:type="dcterms:W3CDTF">2026-01-12T13:32:59Z</dcterms:modified>
</cp:coreProperties>
</file>