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f412f48132263d2/Documents/"/>
    </mc:Choice>
  </mc:AlternateContent>
  <xr:revisionPtr revIDLastSave="0" documentId="14_{62233C10-151D-4E82-93D5-4B9C3021A084}" xr6:coauthVersionLast="47" xr6:coauthVersionMax="47" xr10:uidLastSave="{00000000-0000-0000-0000-000000000000}"/>
  <bookViews>
    <workbookView xWindow="-120" yWindow="-120" windowWidth="20730" windowHeight="11040" firstSheet="1" activeTab="2" xr2:uid="{00000000-000D-0000-FFFF-FFFF00000000}"/>
  </bookViews>
  <sheets>
    <sheet name="home" sheetId="1" r:id="rId1"/>
    <sheet name="ميزانية مراجعة" sheetId="6" r:id="rId2"/>
    <sheet name="قائمة الدخل" sheetId="8" r:id="rId3"/>
    <sheet name="قائمة مركز المالي" sheetId="7" r:id="rId4"/>
    <sheet name="دليل الحساب" sheetId="2" r:id="rId5"/>
    <sheet name="op &amp; ge" sheetId="4" r:id="rId6"/>
    <sheet name="دفتر استاذ" sheetId="3" r:id="rId7"/>
  </sheets>
  <definedNames>
    <definedName name="_xlnm._FilterDatabase" localSheetId="5" hidden="1">'op &amp; ge'!$A$8:$G$16</definedName>
    <definedName name="_xlnm.Criteria" localSheetId="6">'دفتر استاذ'!$D$2:$E$3</definedName>
    <definedName name="_xlnm.Extract" localSheetId="6">'دفتر استاذ'!$A$8:$G$8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2" i="8" l="1"/>
  <c r="B51" i="8"/>
  <c r="B45" i="8"/>
  <c r="B46" i="8"/>
  <c r="B47" i="8"/>
  <c r="B48" i="8"/>
  <c r="B49" i="8"/>
  <c r="B50" i="8"/>
  <c r="B44" i="8"/>
  <c r="A45" i="8"/>
  <c r="A46" i="8"/>
  <c r="A47" i="8"/>
  <c r="A48" i="8"/>
  <c r="A49" i="8"/>
  <c r="A50" i="8"/>
  <c r="A44" i="8"/>
  <c r="B43" i="8"/>
  <c r="B31" i="8"/>
  <c r="A32" i="8"/>
  <c r="A33" i="8"/>
  <c r="A34" i="8"/>
  <c r="A35" i="8"/>
  <c r="A36" i="8"/>
  <c r="A37" i="8"/>
  <c r="A38" i="8"/>
  <c r="A39" i="8"/>
  <c r="A40" i="8"/>
  <c r="A41" i="8"/>
  <c r="A42" i="8"/>
  <c r="A31" i="8"/>
  <c r="C30" i="8"/>
  <c r="C29" i="8"/>
  <c r="B27" i="8"/>
  <c r="B26" i="8"/>
  <c r="B23" i="8"/>
  <c r="B24" i="8"/>
  <c r="B25" i="8"/>
  <c r="B28" i="8"/>
  <c r="B29" i="8"/>
  <c r="B30" i="8"/>
  <c r="B32" i="8"/>
  <c r="B33" i="8"/>
  <c r="B34" i="8"/>
  <c r="B35" i="8"/>
  <c r="B36" i="8"/>
  <c r="B37" i="8"/>
  <c r="B38" i="8"/>
  <c r="B39" i="8"/>
  <c r="B40" i="8"/>
  <c r="B41" i="8"/>
  <c r="B42" i="8"/>
  <c r="B22" i="8"/>
  <c r="B21" i="8"/>
  <c r="B20" i="8"/>
  <c r="B19" i="8"/>
  <c r="B17" i="8"/>
  <c r="B16" i="8"/>
  <c r="B7" i="6"/>
  <c r="A6" i="7" s="1"/>
  <c r="C7" i="6"/>
  <c r="D7" i="6"/>
  <c r="E7" i="6"/>
  <c r="E4" i="6" s="1"/>
  <c r="F7" i="6"/>
  <c r="F4" i="6" s="1"/>
  <c r="A17" i="8"/>
  <c r="A62" i="6"/>
  <c r="B62" i="6"/>
  <c r="C62" i="6"/>
  <c r="D62" i="6"/>
  <c r="A63" i="6"/>
  <c r="B63" i="6"/>
  <c r="C63" i="6"/>
  <c r="D63" i="6"/>
  <c r="A64" i="6"/>
  <c r="B64" i="6"/>
  <c r="C64" i="6"/>
  <c r="D64" i="6"/>
  <c r="A65" i="6"/>
  <c r="B65" i="6"/>
  <c r="C65" i="6"/>
  <c r="D65" i="6"/>
  <c r="A66" i="6"/>
  <c r="B66" i="6"/>
  <c r="C66" i="6"/>
  <c r="D66" i="6"/>
  <c r="A67" i="6"/>
  <c r="B67" i="6"/>
  <c r="C67" i="6"/>
  <c r="D67" i="6"/>
  <c r="A68" i="6"/>
  <c r="B68" i="6"/>
  <c r="C68" i="6"/>
  <c r="D68" i="6"/>
  <c r="A69" i="6"/>
  <c r="B69" i="6"/>
  <c r="C69" i="6"/>
  <c r="D69" i="6"/>
  <c r="A70" i="6"/>
  <c r="B70" i="6"/>
  <c r="C70" i="6"/>
  <c r="D70" i="6"/>
  <c r="A71" i="6"/>
  <c r="B71" i="6"/>
  <c r="C71" i="6"/>
  <c r="D71" i="6"/>
  <c r="A72" i="6"/>
  <c r="B72" i="6"/>
  <c r="C72" i="6"/>
  <c r="D72" i="6"/>
  <c r="A73" i="6"/>
  <c r="B73" i="6"/>
  <c r="C73" i="6"/>
  <c r="D73" i="6"/>
  <c r="A74" i="6"/>
  <c r="B74" i="6"/>
  <c r="C74" i="6"/>
  <c r="D74" i="6"/>
  <c r="A75" i="6"/>
  <c r="B75" i="6"/>
  <c r="C75" i="6"/>
  <c r="D75" i="6"/>
  <c r="A76" i="6"/>
  <c r="B76" i="6"/>
  <c r="C76" i="6"/>
  <c r="D76" i="6"/>
  <c r="A77" i="6"/>
  <c r="B77" i="6"/>
  <c r="C77" i="6"/>
  <c r="D77" i="6"/>
  <c r="A78" i="6"/>
  <c r="B78" i="6"/>
  <c r="C78" i="6"/>
  <c r="D78" i="6"/>
  <c r="A79" i="6"/>
  <c r="B79" i="6"/>
  <c r="C79" i="6"/>
  <c r="D79" i="6"/>
  <c r="A80" i="6"/>
  <c r="B80" i="6"/>
  <c r="C80" i="6"/>
  <c r="D80" i="6"/>
  <c r="A81" i="6"/>
  <c r="B81" i="6"/>
  <c r="C81" i="6"/>
  <c r="D81" i="6"/>
  <c r="A82" i="6"/>
  <c r="B82" i="6"/>
  <c r="C82" i="6"/>
  <c r="D82" i="6"/>
  <c r="A83" i="6"/>
  <c r="B83" i="6"/>
  <c r="C83" i="6"/>
  <c r="D83" i="6"/>
  <c r="A84" i="6"/>
  <c r="B84" i="6"/>
  <c r="C84" i="6"/>
  <c r="D84" i="6"/>
  <c r="A85" i="6"/>
  <c r="B85" i="6"/>
  <c r="C85" i="6"/>
  <c r="D85" i="6"/>
  <c r="A86" i="6"/>
  <c r="B86" i="6"/>
  <c r="C86" i="6"/>
  <c r="D86" i="6"/>
  <c r="A87" i="6"/>
  <c r="B87" i="6"/>
  <c r="C87" i="6"/>
  <c r="D87" i="6"/>
  <c r="A88" i="6"/>
  <c r="B88" i="6"/>
  <c r="C88" i="6"/>
  <c r="D88" i="6"/>
  <c r="A89" i="6"/>
  <c r="B89" i="6"/>
  <c r="C89" i="6"/>
  <c r="D89" i="6"/>
  <c r="A90" i="6"/>
  <c r="B90" i="6"/>
  <c r="C90" i="6"/>
  <c r="D90" i="6"/>
  <c r="A91" i="6"/>
  <c r="B91" i="6"/>
  <c r="C91" i="6"/>
  <c r="D91" i="6"/>
  <c r="A92" i="6"/>
  <c r="B92" i="6"/>
  <c r="C92" i="6"/>
  <c r="D92" i="6"/>
  <c r="A93" i="6"/>
  <c r="B93" i="6"/>
  <c r="C93" i="6"/>
  <c r="D93" i="6"/>
  <c r="A94" i="6"/>
  <c r="B94" i="6"/>
  <c r="C94" i="6"/>
  <c r="D94" i="6"/>
  <c r="A95" i="6"/>
  <c r="B95" i="6"/>
  <c r="C95" i="6"/>
  <c r="D95" i="6"/>
  <c r="A96" i="6"/>
  <c r="B96" i="6"/>
  <c r="C96" i="6"/>
  <c r="D96" i="6"/>
  <c r="A97" i="6"/>
  <c r="B97" i="6"/>
  <c r="C97" i="6"/>
  <c r="D97" i="6"/>
  <c r="A98" i="6"/>
  <c r="B98" i="6"/>
  <c r="C98" i="6"/>
  <c r="D98" i="6"/>
  <c r="A99" i="6"/>
  <c r="B99" i="6"/>
  <c r="C99" i="6"/>
  <c r="D99" i="6"/>
  <c r="A100" i="6"/>
  <c r="B100" i="6"/>
  <c r="C100" i="6"/>
  <c r="D100" i="6"/>
  <c r="A101" i="6"/>
  <c r="B101" i="6"/>
  <c r="C101" i="6"/>
  <c r="D101" i="6"/>
  <c r="A102" i="6"/>
  <c r="B102" i="6"/>
  <c r="C102" i="6"/>
  <c r="D102" i="6"/>
  <c r="A103" i="6"/>
  <c r="B103" i="6"/>
  <c r="C103" i="6"/>
  <c r="D103" i="6"/>
  <c r="A104" i="6"/>
  <c r="B104" i="6"/>
  <c r="C104" i="6"/>
  <c r="D104" i="6"/>
  <c r="A105" i="6"/>
  <c r="B105" i="6"/>
  <c r="C105" i="6"/>
  <c r="D105" i="6"/>
  <c r="A106" i="6"/>
  <c r="B106" i="6"/>
  <c r="C106" i="6"/>
  <c r="D106" i="6"/>
  <c r="A107" i="6"/>
  <c r="B107" i="6"/>
  <c r="C107" i="6"/>
  <c r="D107" i="6"/>
  <c r="A108" i="6"/>
  <c r="B108" i="6"/>
  <c r="C108" i="6"/>
  <c r="D108" i="6"/>
  <c r="A109" i="6"/>
  <c r="B109" i="6"/>
  <c r="C109" i="6"/>
  <c r="D109" i="6"/>
  <c r="A110" i="6"/>
  <c r="B110" i="6"/>
  <c r="C110" i="6"/>
  <c r="D110" i="6"/>
  <c r="A111" i="6"/>
  <c r="B111" i="6"/>
  <c r="C111" i="6"/>
  <c r="D111" i="6"/>
  <c r="B61" i="6"/>
  <c r="A14" i="8" s="1"/>
  <c r="C61" i="6"/>
  <c r="D61" i="6"/>
  <c r="B9" i="8"/>
  <c r="B10" i="8"/>
  <c r="B11" i="8"/>
  <c r="B12" i="8"/>
  <c r="B13" i="8"/>
  <c r="B14" i="8"/>
  <c r="C15" i="8" s="1"/>
  <c r="B15" i="8"/>
  <c r="B8" i="8"/>
  <c r="B7" i="8"/>
  <c r="A8" i="8"/>
  <c r="A9" i="8"/>
  <c r="A10" i="8"/>
  <c r="A11" i="8"/>
  <c r="A12" i="8"/>
  <c r="A13" i="8"/>
  <c r="A18" i="8"/>
  <c r="A19" i="8"/>
  <c r="A20" i="8"/>
  <c r="A21" i="8"/>
  <c r="A22" i="8"/>
  <c r="A23" i="8"/>
  <c r="A24" i="8"/>
  <c r="A25" i="8"/>
  <c r="A7" i="8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F8" i="6"/>
  <c r="F9" i="6"/>
  <c r="F10" i="6"/>
  <c r="F11" i="6"/>
  <c r="F12" i="6"/>
  <c r="F13" i="6"/>
  <c r="F14" i="6"/>
  <c r="E8" i="6"/>
  <c r="E9" i="6"/>
  <c r="E10" i="6"/>
  <c r="E11" i="6"/>
  <c r="E12" i="6"/>
  <c r="E13" i="6"/>
  <c r="E14" i="6"/>
  <c r="A8" i="6"/>
  <c r="B8" i="6" s="1"/>
  <c r="C8" i="6" s="1"/>
  <c r="A9" i="6"/>
  <c r="B9" i="6"/>
  <c r="D9" i="6" s="1"/>
  <c r="A10" i="6"/>
  <c r="B10" i="6" s="1"/>
  <c r="C10" i="6" s="1"/>
  <c r="A11" i="6"/>
  <c r="B11" i="6" s="1"/>
  <c r="A12" i="6"/>
  <c r="B12" i="6" s="1"/>
  <c r="C12" i="6" s="1"/>
  <c r="A13" i="6"/>
  <c r="B13" i="6"/>
  <c r="C13" i="6" s="1"/>
  <c r="A14" i="6"/>
  <c r="B14" i="6" s="1"/>
  <c r="D14" i="6" s="1"/>
  <c r="A15" i="6"/>
  <c r="B15" i="6"/>
  <c r="D15" i="6" s="1"/>
  <c r="A16" i="6"/>
  <c r="B16" i="6" s="1"/>
  <c r="C16" i="6" s="1"/>
  <c r="A17" i="6"/>
  <c r="B17" i="6"/>
  <c r="D17" i="6" s="1"/>
  <c r="A18" i="6"/>
  <c r="B18" i="6" s="1"/>
  <c r="C18" i="6" s="1"/>
  <c r="A19" i="6"/>
  <c r="B19" i="6" s="1"/>
  <c r="A20" i="6"/>
  <c r="B20" i="6" s="1"/>
  <c r="C20" i="6" s="1"/>
  <c r="A21" i="6"/>
  <c r="B21" i="6" s="1"/>
  <c r="A22" i="6"/>
  <c r="B22" i="6" s="1"/>
  <c r="D22" i="6" s="1"/>
  <c r="A23" i="6"/>
  <c r="B23" i="6"/>
  <c r="D23" i="6" s="1"/>
  <c r="A24" i="6"/>
  <c r="B24" i="6" s="1"/>
  <c r="C24" i="6" s="1"/>
  <c r="A25" i="6"/>
  <c r="B25" i="6"/>
  <c r="D25" i="6" s="1"/>
  <c r="A26" i="6"/>
  <c r="B26" i="6" s="1"/>
  <c r="C26" i="6" s="1"/>
  <c r="A27" i="6"/>
  <c r="B27" i="6"/>
  <c r="C27" i="6" s="1"/>
  <c r="A28" i="6"/>
  <c r="B28" i="6" s="1"/>
  <c r="C28" i="6" s="1"/>
  <c r="A29" i="6"/>
  <c r="B29" i="6" s="1"/>
  <c r="A30" i="6"/>
  <c r="B30" i="6" s="1"/>
  <c r="D30" i="6" s="1"/>
  <c r="A31" i="6"/>
  <c r="B31" i="6"/>
  <c r="D31" i="6" s="1"/>
  <c r="A32" i="6"/>
  <c r="B32" i="6" s="1"/>
  <c r="C32" i="6" s="1"/>
  <c r="A33" i="6"/>
  <c r="B33" i="6" s="1"/>
  <c r="A34" i="6"/>
  <c r="B34" i="6" s="1"/>
  <c r="C34" i="6" s="1"/>
  <c r="A35" i="6"/>
  <c r="B35" i="6" s="1"/>
  <c r="A36" i="6"/>
  <c r="B36" i="6" s="1"/>
  <c r="C36" i="6" s="1"/>
  <c r="A37" i="6"/>
  <c r="B37" i="6" s="1"/>
  <c r="A38" i="6"/>
  <c r="B38" i="6" s="1"/>
  <c r="D38" i="6" s="1"/>
  <c r="A39" i="6"/>
  <c r="B39" i="6"/>
  <c r="D39" i="6" s="1"/>
  <c r="A40" i="6"/>
  <c r="B40" i="6" s="1"/>
  <c r="C40" i="6" s="1"/>
  <c r="A41" i="6"/>
  <c r="B41" i="6"/>
  <c r="D41" i="6" s="1"/>
  <c r="A42" i="6"/>
  <c r="B42" i="6" s="1"/>
  <c r="C42" i="6" s="1"/>
  <c r="A43" i="6"/>
  <c r="B43" i="6"/>
  <c r="C43" i="6" s="1"/>
  <c r="A44" i="6"/>
  <c r="B44" i="6" s="1"/>
  <c r="C44" i="6" s="1"/>
  <c r="A45" i="6"/>
  <c r="B45" i="6" s="1"/>
  <c r="A46" i="6"/>
  <c r="B46" i="6" s="1"/>
  <c r="D46" i="6" s="1"/>
  <c r="A47" i="6"/>
  <c r="B47" i="6"/>
  <c r="D47" i="6" s="1"/>
  <c r="A48" i="6"/>
  <c r="B48" i="6" s="1"/>
  <c r="C48" i="6" s="1"/>
  <c r="A49" i="6"/>
  <c r="B49" i="6" s="1"/>
  <c r="A50" i="6"/>
  <c r="B50" i="6" s="1"/>
  <c r="C50" i="6" s="1"/>
  <c r="A51" i="6"/>
  <c r="B51" i="6" s="1"/>
  <c r="A52" i="6"/>
  <c r="B52" i="6" s="1"/>
  <c r="C52" i="6" s="1"/>
  <c r="A53" i="6"/>
  <c r="B53" i="6" s="1"/>
  <c r="A54" i="6"/>
  <c r="B54" i="6" s="1"/>
  <c r="D54" i="6" s="1"/>
  <c r="A55" i="6"/>
  <c r="B55" i="6"/>
  <c r="D55" i="6" s="1"/>
  <c r="A56" i="6"/>
  <c r="B56" i="6" s="1"/>
  <c r="C56" i="6" s="1"/>
  <c r="A57" i="6"/>
  <c r="B57" i="6"/>
  <c r="D57" i="6" s="1"/>
  <c r="A58" i="6"/>
  <c r="B58" i="6" s="1"/>
  <c r="C58" i="6" s="1"/>
  <c r="A59" i="6"/>
  <c r="B59" i="6"/>
  <c r="C59" i="6" s="1"/>
  <c r="A60" i="6"/>
  <c r="B60" i="6" s="1"/>
  <c r="C60" i="6" s="1"/>
  <c r="A7" i="6"/>
  <c r="A61" i="6"/>
  <c r="E3" i="3"/>
  <c r="E16" i="4"/>
  <c r="C9" i="6" s="1"/>
  <c r="E15" i="4"/>
  <c r="C25" i="6" s="1"/>
  <c r="E14" i="4"/>
  <c r="E13" i="4"/>
  <c r="E12" i="4"/>
  <c r="E11" i="4"/>
  <c r="E10" i="4"/>
  <c r="E9" i="4"/>
  <c r="G6" i="4"/>
  <c r="F6" i="4"/>
  <c r="G6" i="3"/>
  <c r="F6" i="3"/>
  <c r="B6" i="7" l="1"/>
  <c r="C4" i="6"/>
  <c r="C3" i="6" s="1"/>
  <c r="D4" i="6"/>
  <c r="D4" i="7"/>
  <c r="D49" i="6"/>
  <c r="C49" i="6"/>
  <c r="C37" i="6"/>
  <c r="D37" i="6"/>
  <c r="C29" i="6"/>
  <c r="D29" i="6"/>
  <c r="C11" i="6"/>
  <c r="D11" i="6"/>
  <c r="C35" i="6"/>
  <c r="D35" i="6"/>
  <c r="C53" i="6"/>
  <c r="D53" i="6"/>
  <c r="D33" i="6"/>
  <c r="C33" i="6"/>
  <c r="C21" i="6"/>
  <c r="D21" i="6"/>
  <c r="C45" i="6"/>
  <c r="D45" i="6"/>
  <c r="C51" i="6"/>
  <c r="D51" i="6"/>
  <c r="C19" i="6"/>
  <c r="D19" i="6"/>
  <c r="C41" i="6"/>
  <c r="C17" i="6"/>
  <c r="C55" i="6"/>
  <c r="C47" i="6"/>
  <c r="C39" i="6"/>
  <c r="C31" i="6"/>
  <c r="C23" i="6"/>
  <c r="C15" i="6"/>
  <c r="D13" i="6"/>
  <c r="C57" i="6"/>
  <c r="C54" i="6"/>
  <c r="C46" i="6"/>
  <c r="C38" i="6"/>
  <c r="C30" i="6"/>
  <c r="C22" i="6"/>
  <c r="C14" i="6"/>
  <c r="D60" i="6"/>
  <c r="D52" i="6"/>
  <c r="D44" i="6"/>
  <c r="D36" i="6"/>
  <c r="D28" i="6"/>
  <c r="D20" i="6"/>
  <c r="D12" i="6"/>
  <c r="D59" i="6"/>
  <c r="D43" i="6"/>
  <c r="D27" i="6"/>
  <c r="D58" i="6"/>
  <c r="D50" i="6"/>
  <c r="D42" i="6"/>
  <c r="D34" i="6"/>
  <c r="D26" i="6"/>
  <c r="D18" i="6"/>
  <c r="D10" i="6"/>
  <c r="D56" i="6"/>
  <c r="D48" i="6"/>
  <c r="D40" i="6"/>
  <c r="D32" i="6"/>
  <c r="D24" i="6"/>
  <c r="D16" i="6"/>
  <c r="D8" i="6"/>
  <c r="F5" i="4"/>
  <c r="F5" i="3"/>
</calcChain>
</file>

<file path=xl/sharedStrings.xml><?xml version="1.0" encoding="utf-8"?>
<sst xmlns="http://schemas.openxmlformats.org/spreadsheetml/2006/main" count="261" uniqueCount="128">
  <si>
    <t>ژمارە</t>
  </si>
  <si>
    <t>دليل الحسابات</t>
  </si>
  <si>
    <t>موجودات المتداولة</t>
  </si>
  <si>
    <t>صندوق</t>
  </si>
  <si>
    <t xml:space="preserve">ميزانية </t>
  </si>
  <si>
    <t>موجودت متداولة</t>
  </si>
  <si>
    <t>البنك</t>
  </si>
  <si>
    <t>المدينون</t>
  </si>
  <si>
    <t>زبائن (العملاء)</t>
  </si>
  <si>
    <t>بضاعة اول مدة</t>
  </si>
  <si>
    <t xml:space="preserve">قائمة دخل </t>
  </si>
  <si>
    <t>یەکەم سال نیمانە</t>
  </si>
  <si>
    <t>مخصص ديون مشكوك فيها</t>
  </si>
  <si>
    <t>ميزانية</t>
  </si>
  <si>
    <t xml:space="preserve">مخصص هبوط اسعار الاوراق الماليه </t>
  </si>
  <si>
    <t>مخصص هبوط اسعار البضاعه</t>
  </si>
  <si>
    <t>اوراق القبض</t>
  </si>
  <si>
    <t xml:space="preserve">ميزانية /قائمة دخل </t>
  </si>
  <si>
    <t>موجودات متداولة</t>
  </si>
  <si>
    <t>ايرادات مستحقة</t>
  </si>
  <si>
    <t>مصروفات مدفوعة مقدما</t>
  </si>
  <si>
    <t>استثمار قصيرة اجل</t>
  </si>
  <si>
    <t>موجودات الثابتة</t>
  </si>
  <si>
    <t>الاراضي</t>
  </si>
  <si>
    <t>موجودات ثابت</t>
  </si>
  <si>
    <t>مخصص اندثار متراكم اراضى</t>
  </si>
  <si>
    <t>المباني</t>
  </si>
  <si>
    <t>مخصص اندثار متراكم مباني</t>
  </si>
  <si>
    <t>السيارات</t>
  </si>
  <si>
    <t>مخصص اندثار متراكم سيارات</t>
  </si>
  <si>
    <t>الاثاث</t>
  </si>
  <si>
    <t>مخصص اندثار متراكم اثاث</t>
  </si>
  <si>
    <t>الات واجهزة</t>
  </si>
  <si>
    <t>مخصص اندثار متراكم</t>
  </si>
  <si>
    <t>موجودات غير الملموسة</t>
  </si>
  <si>
    <t>العلامة التجارية</t>
  </si>
  <si>
    <t>موجودات غير ملموسة</t>
  </si>
  <si>
    <t>براءة الاختراع</t>
  </si>
  <si>
    <t>الشهرة المحل</t>
  </si>
  <si>
    <t>مطلوبات المتداولة</t>
  </si>
  <si>
    <t>الدائنون</t>
  </si>
  <si>
    <t>التزامات قصيرة الاجل</t>
  </si>
  <si>
    <t>موردون</t>
  </si>
  <si>
    <t>اوراق الدفع</t>
  </si>
  <si>
    <t>قروض قصيرة الاجل</t>
  </si>
  <si>
    <t>سلف قصيرة الاجل</t>
  </si>
  <si>
    <t>ايرادات مستلمة مقدما</t>
  </si>
  <si>
    <t>مصروفات مستحقة</t>
  </si>
  <si>
    <t>مطلوبات  غير المتداولة</t>
  </si>
  <si>
    <t>قروض طويلة الاجل</t>
  </si>
  <si>
    <t>التزامات طويلة الاجل</t>
  </si>
  <si>
    <t>سلف طويلة الاجل</t>
  </si>
  <si>
    <t>حقوق الملكية</t>
  </si>
  <si>
    <t>راس المال</t>
  </si>
  <si>
    <t>المسحوبات الشخصية</t>
  </si>
  <si>
    <t>ميزانية - قائمة دخل</t>
  </si>
  <si>
    <t>الاحتياطيات</t>
  </si>
  <si>
    <t>الارباح المحتجزة</t>
  </si>
  <si>
    <t>الايرادات</t>
  </si>
  <si>
    <t>المبيعات</t>
  </si>
  <si>
    <t>مردودات المبيعات</t>
  </si>
  <si>
    <t>مسموحات مبيعات</t>
  </si>
  <si>
    <t>الخصم مسموح به</t>
  </si>
  <si>
    <t>الايرادات الاخرى</t>
  </si>
  <si>
    <t xml:space="preserve"> فروقات عمولة مبيعات</t>
  </si>
  <si>
    <t>فوائد دائنة</t>
  </si>
  <si>
    <t>ايرادات الاستثمار ( ربح )</t>
  </si>
  <si>
    <t>ارباح اسعار الاوراق الماليه ( سهم و سندات )</t>
  </si>
  <si>
    <t>ايرادات الايجار</t>
  </si>
  <si>
    <t>المصروفات</t>
  </si>
  <si>
    <t>المشتريات</t>
  </si>
  <si>
    <t>مسموحات مشتريات</t>
  </si>
  <si>
    <t>مردودات المشتريات</t>
  </si>
  <si>
    <t>الخصم مكتسب</t>
  </si>
  <si>
    <t xml:space="preserve">رسوم كمركية شراء </t>
  </si>
  <si>
    <t xml:space="preserve">مصاريف اجور عمال شراء </t>
  </si>
  <si>
    <t>عمولة وكلاء شراء</t>
  </si>
  <si>
    <t>مصاريف نقل شراء</t>
  </si>
  <si>
    <t>مصاريف غير تشغيلية</t>
  </si>
  <si>
    <t>عمولات بنك</t>
  </si>
  <si>
    <t>قرطاسية</t>
  </si>
  <si>
    <t>فروقات عمولة بيع</t>
  </si>
  <si>
    <t>فوائد مدينة</t>
  </si>
  <si>
    <t>خسائر بيع أصول ثابت</t>
  </si>
  <si>
    <t>خسائر تلف أو حريق</t>
  </si>
  <si>
    <t>مصاريف قرطاسية</t>
  </si>
  <si>
    <t>عمولات بيع وكلاء</t>
  </si>
  <si>
    <t>ايجار معرض</t>
  </si>
  <si>
    <t>ايجار محل</t>
  </si>
  <si>
    <t>ايجار مخزن</t>
  </si>
  <si>
    <t>دعاية واعلان</t>
  </si>
  <si>
    <t>مصاريف نقل</t>
  </si>
  <si>
    <t>مصاريف البيع والتسويق</t>
  </si>
  <si>
    <t>ديون معدومة</t>
  </si>
  <si>
    <t>هبوط اسعار البضاعه ( خسائر هبوط أسعار المخزون</t>
  </si>
  <si>
    <t>خسائرهبوط اسعار الاوراق الماليه ( سهم و سندات )محتملة</t>
  </si>
  <si>
    <t>مصاريف ادارية وعمومية</t>
  </si>
  <si>
    <t>التامين</t>
  </si>
  <si>
    <t>رواتب واجور</t>
  </si>
  <si>
    <t xml:space="preserve"> ديون مشكوك فيها</t>
  </si>
  <si>
    <t xml:space="preserve">خدمات قانونية </t>
  </si>
  <si>
    <t>التلفون</t>
  </si>
  <si>
    <t>الكهرباء</t>
  </si>
  <si>
    <t xml:space="preserve">الايجارات </t>
  </si>
  <si>
    <t>ضريبة دخل</t>
  </si>
  <si>
    <t>اجمالي</t>
  </si>
  <si>
    <t>رقم \وصل</t>
  </si>
  <si>
    <t>تاريخ</t>
  </si>
  <si>
    <t>البيانات</t>
  </si>
  <si>
    <t>كود</t>
  </si>
  <si>
    <t>اسم الحساب</t>
  </si>
  <si>
    <t>مدين</t>
  </si>
  <si>
    <t>دائن</t>
  </si>
  <si>
    <t>بالمجاميع</t>
  </si>
  <si>
    <t>بارصيده</t>
  </si>
  <si>
    <t>جزئي</t>
  </si>
  <si>
    <t>كلي</t>
  </si>
  <si>
    <t>قائمة مركز المالي</t>
  </si>
  <si>
    <t>قائمة الدخل</t>
  </si>
  <si>
    <t>صافي مبيعات</t>
  </si>
  <si>
    <t>مجموع مشتريات</t>
  </si>
  <si>
    <t>كلفة بضاعة متاحة للبيع</t>
  </si>
  <si>
    <t>بضاعة اخر مدة</t>
  </si>
  <si>
    <t>كلفة بضاعة مباعة</t>
  </si>
  <si>
    <t>مجمل ربح او خسارة</t>
  </si>
  <si>
    <t>مجموع المصاريف</t>
  </si>
  <si>
    <t>مجموع ايرادات</t>
  </si>
  <si>
    <t>صافي ربع او خسارة قبل ضريبة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</si>
</sst>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د_._ع_._‏_-;\-* #,##0.00\ _د_._ع_._‏_-;_-* &quot;-&quot;??\ _د_._ع_._‏_-;_-@_-"/>
    <numFmt numFmtId="165" formatCode="_-[$$-409]* #,##0_ ;_-[$$-409]* \-#,##0\ ;_-[$$-409]* &quot;-&quot;??_ ;_-@_ "/>
  </numFmts>
  <fonts count="23"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Albertus Extra Bold"/>
      <family val="2"/>
    </font>
    <font>
      <sz val="14"/>
      <color theme="1"/>
      <name val="Albertus Extra Bold"/>
      <family val="2"/>
    </font>
    <font>
      <sz val="10"/>
      <name val="Arial"/>
      <family val="2"/>
    </font>
    <font>
      <sz val="14"/>
      <name val="Albertus Extra Bold"/>
      <family val="2"/>
    </font>
    <font>
      <sz val="18"/>
      <color theme="0"/>
      <name val="Albertus Extra Bold"/>
      <family val="2"/>
    </font>
    <font>
      <sz val="14"/>
      <color indexed="8"/>
      <name val="Albertus Extra Bold"/>
      <family val="2"/>
    </font>
    <font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6"/>
      <color theme="1"/>
      <name val="Calibri"/>
      <family val="2"/>
      <charset val="178"/>
      <scheme val="minor"/>
    </font>
    <font>
      <sz val="18"/>
      <color theme="1"/>
      <name val="Calibri"/>
      <family val="2"/>
      <charset val="178"/>
      <scheme val="minor"/>
    </font>
    <font>
      <sz val="20"/>
      <color theme="1"/>
      <name val="Calibri"/>
      <family val="2"/>
      <charset val="178"/>
      <scheme val="minor"/>
    </font>
    <font>
      <sz val="20"/>
      <color theme="0"/>
      <name val="Ali-A-Samik"/>
      <charset val="178"/>
    </font>
    <font>
      <sz val="22"/>
      <color theme="1"/>
      <name val="Ali-A-Samik"/>
      <charset val="178"/>
    </font>
    <font>
      <sz val="11"/>
      <color rgb="FF000000"/>
      <name val="Calibri"/>
      <family val="2"/>
    </font>
    <font>
      <sz val="11"/>
      <color rgb="FFFF0000"/>
      <name val="Calibri"/>
      <family val="2"/>
      <charset val="178"/>
      <scheme val="minor"/>
    </font>
    <font>
      <sz val="28"/>
      <color rgb="FFFF0000"/>
      <name val="Calibri"/>
      <family val="2"/>
      <charset val="178"/>
      <scheme val="minor"/>
    </font>
    <font>
      <sz val="22"/>
      <color theme="1"/>
      <name val="Calibri"/>
      <family val="2"/>
      <charset val="178"/>
      <scheme val="minor"/>
    </font>
    <font>
      <sz val="16"/>
      <color theme="3"/>
      <name val="Calibri"/>
      <family val="2"/>
      <charset val="178"/>
      <scheme val="minor"/>
    </font>
    <font>
      <sz val="12"/>
      <color theme="3"/>
      <name val="Calibri"/>
      <family val="2"/>
      <charset val="17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theme="0"/>
        </stop>
        <stop position="1">
          <color theme="2" tint="-0.74901577806939912"/>
        </stop>
      </gradient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gradientFill degree="270">
        <stop position="0">
          <color theme="0"/>
        </stop>
        <stop position="1">
          <color theme="4"/>
        </stop>
      </gradientFill>
    </fill>
    <fill>
      <gradientFill degree="270">
        <stop position="0">
          <color theme="0"/>
        </stop>
        <stop position="1">
          <color theme="8" tint="0.40000610370189521"/>
        </stop>
      </gradientFill>
    </fill>
    <fill>
      <gradientFill degree="270">
        <stop position="0">
          <color theme="0"/>
        </stop>
        <stop position="1">
          <color rgb="FFFFC000"/>
        </stop>
      </gradient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2" fillId="0" borderId="0"/>
    <xf numFmtId="0" fontId="6" fillId="0" borderId="0"/>
  </cellStyleXfs>
  <cellXfs count="43">
    <xf numFmtId="0" fontId="0" fillId="0" borderId="0" xfId="0"/>
    <xf numFmtId="0" fontId="0" fillId="5" borderId="0" xfId="0" applyFill="1"/>
    <xf numFmtId="0" fontId="1" fillId="0" borderId="0" xfId="2" applyAlignment="1">
      <alignment horizontal="center" vertical="center"/>
    </xf>
    <xf numFmtId="0" fontId="2" fillId="0" borderId="0" xfId="3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1" xfId="4" applyFont="1" applyBorder="1" applyAlignment="1">
      <alignment horizontal="center" vertical="center" readingOrder="2"/>
    </xf>
    <xf numFmtId="0" fontId="0" fillId="0" borderId="0" xfId="3" applyFont="1" applyAlignment="1">
      <alignment horizontal="center" vertical="center"/>
    </xf>
    <xf numFmtId="0" fontId="8" fillId="6" borderId="1" xfId="3" applyFont="1" applyFill="1" applyBorder="1" applyAlignment="1">
      <alignment horizontal="center" vertical="center"/>
    </xf>
    <xf numFmtId="0" fontId="9" fillId="7" borderId="1" xfId="2" applyFont="1" applyFill="1" applyBorder="1" applyAlignment="1">
      <alignment horizontal="center" vertical="center"/>
    </xf>
    <xf numFmtId="0" fontId="1" fillId="0" borderId="0" xfId="2"/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center" vertical="center" readingOrder="2"/>
    </xf>
    <xf numFmtId="0" fontId="1" fillId="0" borderId="1" xfId="2" applyBorder="1" applyAlignment="1">
      <alignment horizontal="center" vertical="center"/>
    </xf>
    <xf numFmtId="0" fontId="3" fillId="4" borderId="1" xfId="3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5" fontId="16" fillId="11" borderId="10" xfId="1" applyNumberFormat="1" applyFont="1" applyFill="1" applyBorder="1" applyAlignment="1">
      <alignment horizontal="center" vertical="center"/>
    </xf>
    <xf numFmtId="165" fontId="16" fillId="12" borderId="11" xfId="1" applyNumberFormat="1" applyFont="1" applyFill="1" applyBorder="1" applyAlignment="1">
      <alignment horizontal="center" vertical="center"/>
    </xf>
    <xf numFmtId="165" fontId="16" fillId="11" borderId="11" xfId="1" applyNumberFormat="1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165" fontId="16" fillId="10" borderId="7" xfId="1" applyNumberFormat="1" applyFont="1" applyFill="1" applyBorder="1" applyAlignment="1">
      <alignment horizontal="center" vertical="center"/>
    </xf>
    <xf numFmtId="165" fontId="16" fillId="10" borderId="1" xfId="1" applyNumberFormat="1" applyFont="1" applyFill="1" applyBorder="1" applyAlignment="1">
      <alignment horizontal="center" vertical="center"/>
    </xf>
    <xf numFmtId="165" fontId="16" fillId="2" borderId="0" xfId="1" applyNumberFormat="1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0" fillId="8" borderId="1" xfId="0" applyFont="1" applyFill="1" applyBorder="1" applyAlignment="1">
      <alignment horizontal="center" vertical="center"/>
    </xf>
    <xf numFmtId="0" fontId="18" fillId="13" borderId="1" xfId="0" applyFont="1" applyFill="1" applyBorder="1"/>
    <xf numFmtId="0" fontId="19" fillId="0" borderId="0" xfId="0" applyFont="1"/>
    <xf numFmtId="0" fontId="13" fillId="0" borderId="0" xfId="0" applyFont="1" applyAlignment="1">
      <alignment horizontal="center"/>
    </xf>
    <xf numFmtId="0" fontId="18" fillId="13" borderId="0" xfId="0" applyFont="1" applyFill="1" applyAlignment="1">
      <alignment horizontal="center"/>
    </xf>
    <xf numFmtId="0" fontId="20" fillId="14" borderId="0" xfId="0" applyFont="1" applyFill="1"/>
    <xf numFmtId="0" fontId="21" fillId="0" borderId="0" xfId="0" applyFont="1"/>
    <xf numFmtId="0" fontId="22" fillId="0" borderId="0" xfId="0" applyFont="1"/>
  </cellXfs>
  <cellStyles count="5">
    <cellStyle name="Comma" xfId="1" builtinId="3"/>
    <cellStyle name="Normal" xfId="0" builtinId="0"/>
    <cellStyle name="Normal 2" xfId="4" xr:uid="{00000000-0005-0000-0000-000002000000}"/>
    <cellStyle name="Normal 3" xfId="2" xr:uid="{00000000-0005-0000-0000-000003000000}"/>
    <cellStyle name="Normal 5" xfId="3" xr:uid="{00000000-0005-0000-0000-000004000000}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&#1602;&#1610;&#1583; &#1575;&#1601;&#1578;&#1578;&#1575;&#1581;&#1609; &#1608;&#1602;&#1610;&#1608;&#1583; &#1575;&#1604;&#1610;&#1608;&#1605;&#1610;&#1577;'!A1"/><Relationship Id="rId1" Type="http://schemas.openxmlformats.org/officeDocument/2006/relationships/hyperlink" Target="#'&#1583;&#1604;&#1610;&#1604; &#1575;&#1604;&#1581;&#1587;&#1575;&#1576;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</xdr:row>
      <xdr:rowOff>9525</xdr:rowOff>
    </xdr:from>
    <xdr:to>
      <xdr:col>4</xdr:col>
      <xdr:colOff>19050</xdr:colOff>
      <xdr:row>5</xdr:row>
      <xdr:rowOff>95250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85228950" y="390525"/>
          <a:ext cx="1781175" cy="65722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/>
            <a:t>دليل</a:t>
          </a:r>
          <a:r>
            <a:rPr lang="ar-IQ" sz="2800" baseline="0"/>
            <a:t> الحساب</a:t>
          </a:r>
          <a:endParaRPr lang="en-US" sz="2800"/>
        </a:p>
      </xdr:txBody>
    </xdr:sp>
    <xdr:clientData/>
  </xdr:twoCellAnchor>
  <xdr:twoCellAnchor>
    <xdr:from>
      <xdr:col>4</xdr:col>
      <xdr:colOff>561975</xdr:colOff>
      <xdr:row>2</xdr:row>
      <xdr:rowOff>47625</xdr:rowOff>
    </xdr:from>
    <xdr:to>
      <xdr:col>10</xdr:col>
      <xdr:colOff>457200</xdr:colOff>
      <xdr:row>5</xdr:row>
      <xdr:rowOff>133350</xdr:rowOff>
    </xdr:to>
    <xdr:sp macro="" textlink="">
      <xdr:nvSpPr>
        <xdr:cNvPr id="3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81133200" y="428625"/>
          <a:ext cx="3552825" cy="65722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/>
            <a:t>قيد افتتاحى و قيود اليومية</a:t>
          </a:r>
          <a:endParaRPr lang="en-US" sz="2800"/>
        </a:p>
      </xdr:txBody>
    </xdr:sp>
    <xdr:clientData/>
  </xdr:twoCellAnchor>
  <xdr:twoCellAnchor>
    <xdr:from>
      <xdr:col>0</xdr:col>
      <xdr:colOff>590550</xdr:colOff>
      <xdr:row>6</xdr:row>
      <xdr:rowOff>161925</xdr:rowOff>
    </xdr:from>
    <xdr:to>
      <xdr:col>7</xdr:col>
      <xdr:colOff>104775</xdr:colOff>
      <xdr:row>10</xdr:row>
      <xdr:rowOff>57150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83314425" y="1304925"/>
          <a:ext cx="3781425" cy="65722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/>
            <a:t>دفتر استاذ ( كشف الحساب</a:t>
          </a:r>
          <a:endParaRPr lang="en-US" sz="2800"/>
        </a:p>
      </xdr:txBody>
    </xdr:sp>
    <xdr:clientData/>
  </xdr:twoCellAnchor>
  <xdr:twoCellAnchor>
    <xdr:from>
      <xdr:col>7</xdr:col>
      <xdr:colOff>285750</xdr:colOff>
      <xdr:row>6</xdr:row>
      <xdr:rowOff>180975</xdr:rowOff>
    </xdr:from>
    <xdr:to>
      <xdr:col>11</xdr:col>
      <xdr:colOff>47625</xdr:colOff>
      <xdr:row>10</xdr:row>
      <xdr:rowOff>76200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80933175" y="1323975"/>
          <a:ext cx="2200275" cy="65722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/>
            <a:t>ميزانية المراجعة</a:t>
          </a:r>
          <a:endParaRPr lang="en-US" sz="2800"/>
        </a:p>
      </xdr:txBody>
    </xdr:sp>
    <xdr:clientData/>
  </xdr:twoCellAnchor>
  <xdr:twoCellAnchor>
    <xdr:from>
      <xdr:col>1</xdr:col>
      <xdr:colOff>19050</xdr:colOff>
      <xdr:row>12</xdr:row>
      <xdr:rowOff>57150</xdr:rowOff>
    </xdr:from>
    <xdr:to>
      <xdr:col>3</xdr:col>
      <xdr:colOff>581025</xdr:colOff>
      <xdr:row>15</xdr:row>
      <xdr:rowOff>142875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85276575" y="2343150"/>
          <a:ext cx="1781175" cy="65722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/>
            <a:t>قائمة الدخل</a:t>
          </a:r>
          <a:endParaRPr lang="en-US" sz="2800"/>
        </a:p>
      </xdr:txBody>
    </xdr:sp>
    <xdr:clientData/>
  </xdr:twoCellAnchor>
  <xdr:twoCellAnchor>
    <xdr:from>
      <xdr:col>4</xdr:col>
      <xdr:colOff>333375</xdr:colOff>
      <xdr:row>12</xdr:row>
      <xdr:rowOff>38100</xdr:rowOff>
    </xdr:from>
    <xdr:to>
      <xdr:col>9</xdr:col>
      <xdr:colOff>247650</xdr:colOff>
      <xdr:row>15</xdr:row>
      <xdr:rowOff>123825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981952350" y="2324100"/>
          <a:ext cx="2962275" cy="65722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IQ" sz="2800"/>
            <a:t>قائمة المركز المالى</a:t>
          </a:r>
          <a:endParaRPr lang="en-US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977900</xdr:colOff>
      <xdr:row>1</xdr:row>
      <xdr:rowOff>19050</xdr:rowOff>
    </xdr:from>
    <xdr:to>
      <xdr:col>3</xdr:col>
      <xdr:colOff>596900</xdr:colOff>
      <xdr:row>4</xdr:row>
      <xdr:rowOff>6350</xdr:rowOff>
    </xdr:to>
    <xdr:sp macro="" textlink="">
      <xdr:nvSpPr>
        <xdr:cNvPr id="3" name="Oval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986321150" y="209550"/>
          <a:ext cx="1117600" cy="70485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2000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2</xdr:row>
      <xdr:rowOff>57150</xdr:rowOff>
    </xdr:from>
    <xdr:to>
      <xdr:col>10</xdr:col>
      <xdr:colOff>381000</xdr:colOff>
      <xdr:row>5</xdr:row>
      <xdr:rowOff>180975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981209400" y="438150"/>
          <a:ext cx="1400175" cy="838200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2400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2</xdr:row>
      <xdr:rowOff>57150</xdr:rowOff>
    </xdr:from>
    <xdr:to>
      <xdr:col>10</xdr:col>
      <xdr:colOff>381000</xdr:colOff>
      <xdr:row>5</xdr:row>
      <xdr:rowOff>180975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81209400" y="438150"/>
          <a:ext cx="1400175" cy="695325"/>
        </a:xfrm>
        <a:prstGeom prst="ellipse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2400"/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1</xdr:row>
          <xdr:rowOff>228600</xdr:rowOff>
        </xdr:from>
        <xdr:to>
          <xdr:col>2</xdr:col>
          <xdr:colOff>609600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rightToLeft="1" workbookViewId="0"/>
  </sheetViews>
  <sheetFormatPr defaultRowHeight="15"/>
  <cols>
    <col min="1" max="16384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F111"/>
  <sheetViews>
    <sheetView rightToLeft="1" workbookViewId="0">
      <pane ySplit="6" topLeftCell="A53" activePane="bottomLeft" state="frozen"/>
      <selection pane="bottomLeft" activeCell="I3" sqref="I3"/>
    </sheetView>
  </sheetViews>
  <sheetFormatPr defaultRowHeight="23.25"/>
  <cols>
    <col min="2" max="2" width="28.85546875" customWidth="1"/>
    <col min="3" max="4" width="10.5703125" style="23" customWidth="1"/>
    <col min="5" max="5" width="47.85546875" customWidth="1"/>
    <col min="6" max="6" width="10.5703125" customWidth="1"/>
  </cols>
  <sheetData>
    <row r="3" spans="1:6">
      <c r="C3" s="38" t="b">
        <f>C4=D4</f>
        <v>0</v>
      </c>
      <c r="D3" s="38"/>
    </row>
    <row r="4" spans="1:6">
      <c r="C4" s="23">
        <f>SUM(C7:C2800)</f>
        <v>1</v>
      </c>
      <c r="D4" s="23">
        <f t="shared" ref="D4:F4" si="0">SUM(D7:D2800)</f>
        <v>2</v>
      </c>
      <c r="E4" s="23">
        <f t="shared" si="0"/>
        <v>0</v>
      </c>
      <c r="F4" s="23">
        <f t="shared" si="0"/>
        <v>1</v>
      </c>
    </row>
    <row r="5" spans="1:6" ht="27.75" thickBot="1">
      <c r="A5" s="27" t="s">
        <v>109</v>
      </c>
      <c r="B5" s="29" t="s">
        <v>110</v>
      </c>
      <c r="C5" s="31" t="s">
        <v>113</v>
      </c>
      <c r="D5" s="32"/>
      <c r="E5" s="33" t="s">
        <v>114</v>
      </c>
      <c r="F5" s="33"/>
    </row>
    <row r="6" spans="1:6" ht="27.75" thickTop="1">
      <c r="A6" s="28"/>
      <c r="B6" s="30"/>
      <c r="C6" s="24" t="s">
        <v>111</v>
      </c>
      <c r="D6" s="25" t="s">
        <v>112</v>
      </c>
      <c r="E6" s="26" t="s">
        <v>111</v>
      </c>
      <c r="F6" s="25" t="s">
        <v>112</v>
      </c>
    </row>
    <row r="7" spans="1:6" ht="15">
      <c r="A7">
        <f>'دليل الحساب'!A5</f>
        <v>1</v>
      </c>
      <c r="B7" t="str">
        <f>'دليل الحساب'!B5</f>
        <v>موجودات المتداولة</v>
      </c>
      <c r="C7">
        <f>'دليل الحساب'!C5</f>
        <v>0</v>
      </c>
      <c r="D7">
        <f>'دليل الحساب'!D5</f>
        <v>0</v>
      </c>
      <c r="E7">
        <f>'دليل الحساب'!E5</f>
        <v>0</v>
      </c>
      <c r="F7">
        <f>'دليل الحساب'!F5</f>
        <v>0</v>
      </c>
    </row>
    <row r="8" spans="1:6">
      <c r="A8">
        <f>'دليل الحساب'!A6</f>
        <v>11</v>
      </c>
      <c r="B8" t="str">
        <f>VLOOKUP(A8,'دليل الحساب'!A:B,2,FALSE)</f>
        <v>صندوق</v>
      </c>
      <c r="C8" s="23">
        <f>SUMIF('op &amp; ge'!E:E,'ميزانية مراجعة'!B8,'op &amp; ge'!F:F)</f>
        <v>0</v>
      </c>
      <c r="D8" s="23">
        <f>SUMIF('op &amp; ge'!E:E,'ميزانية مراجعة'!B8,'op &amp; ge'!G:G)</f>
        <v>1</v>
      </c>
      <c r="E8" s="20">
        <f t="shared" ref="E8:E14" si="1">IF(C8&gt;D8,C8-D8,0)</f>
        <v>0</v>
      </c>
      <c r="F8">
        <f t="shared" ref="F8:F14" si="2">IF(D8&gt;C8,D8-C8,0)</f>
        <v>1</v>
      </c>
    </row>
    <row r="9" spans="1:6">
      <c r="A9">
        <f>'دليل الحساب'!A7</f>
        <v>12</v>
      </c>
      <c r="B9" t="str">
        <f>VLOOKUP(A9,'دليل الحساب'!A:B,2,FALSE)</f>
        <v>البنك</v>
      </c>
      <c r="C9" s="23">
        <f>SUMIF('op &amp; ge'!E:E,'ميزانية مراجعة'!B9,'op &amp; ge'!F:F)</f>
        <v>0</v>
      </c>
      <c r="D9" s="23">
        <f>SUMIF('op &amp; ge'!E:E,'ميزانية مراجعة'!B9,'op &amp; ge'!G:G)</f>
        <v>0</v>
      </c>
      <c r="E9" s="20">
        <f t="shared" si="1"/>
        <v>0</v>
      </c>
      <c r="F9">
        <f t="shared" si="2"/>
        <v>0</v>
      </c>
    </row>
    <row r="10" spans="1:6">
      <c r="A10">
        <f>'دليل الحساب'!A8</f>
        <v>13</v>
      </c>
      <c r="B10" t="str">
        <f>VLOOKUP(A10,'دليل الحساب'!A:B,2,FALSE)</f>
        <v>المدينون</v>
      </c>
      <c r="C10" s="23">
        <f>SUMIF('op &amp; ge'!E:E,'ميزانية مراجعة'!B10,'op &amp; ge'!F:F)</f>
        <v>1</v>
      </c>
      <c r="D10" s="23">
        <f>SUMIF('op &amp; ge'!E:E,'ميزانية مراجعة'!B10,'op &amp; ge'!G:G)</f>
        <v>1</v>
      </c>
      <c r="E10" s="20">
        <f t="shared" si="1"/>
        <v>0</v>
      </c>
      <c r="F10">
        <f t="shared" si="2"/>
        <v>0</v>
      </c>
    </row>
    <row r="11" spans="1:6">
      <c r="A11">
        <f>'دليل الحساب'!A9</f>
        <v>14</v>
      </c>
      <c r="B11" t="str">
        <f>VLOOKUP(A11,'دليل الحساب'!A:B,2,FALSE)</f>
        <v>زبائن (العملاء)</v>
      </c>
      <c r="C11" s="23">
        <f>SUMIF('op &amp; ge'!E:E,'ميزانية مراجعة'!B11,'op &amp; ge'!F:F)</f>
        <v>0</v>
      </c>
      <c r="D11" s="23">
        <f>SUMIF('op &amp; ge'!E:E,'ميزانية مراجعة'!B11,'op &amp; ge'!G:G)</f>
        <v>0</v>
      </c>
      <c r="E11" s="20">
        <f t="shared" si="1"/>
        <v>0</v>
      </c>
      <c r="F11">
        <f t="shared" si="2"/>
        <v>0</v>
      </c>
    </row>
    <row r="12" spans="1:6">
      <c r="A12">
        <f>'دليل الحساب'!A10</f>
        <v>15</v>
      </c>
      <c r="B12" t="str">
        <f>VLOOKUP(A12,'دليل الحساب'!A:B,2,FALSE)</f>
        <v>بضاعة اول مدة</v>
      </c>
      <c r="C12" s="23">
        <f>SUMIF('op &amp; ge'!E:E,'ميزانية مراجعة'!B12,'op &amp; ge'!F:F)</f>
        <v>0</v>
      </c>
      <c r="D12" s="23">
        <f>SUMIF('op &amp; ge'!E:E,'ميزانية مراجعة'!B12,'op &amp; ge'!G:G)</f>
        <v>0</v>
      </c>
      <c r="E12" s="20">
        <f t="shared" si="1"/>
        <v>0</v>
      </c>
      <c r="F12">
        <f t="shared" si="2"/>
        <v>0</v>
      </c>
    </row>
    <row r="13" spans="1:6">
      <c r="A13">
        <f>'دليل الحساب'!A11</f>
        <v>16</v>
      </c>
      <c r="B13" t="str">
        <f>VLOOKUP(A13,'دليل الحساب'!A:B,2,FALSE)</f>
        <v>مخصص ديون مشكوك فيها</v>
      </c>
      <c r="C13" s="23">
        <f>SUMIF('op &amp; ge'!E:E,'ميزانية مراجعة'!B13,'op &amp; ge'!F:F)</f>
        <v>0</v>
      </c>
      <c r="D13" s="23">
        <f>SUMIF('op &amp; ge'!E:E,'ميزانية مراجعة'!B13,'op &amp; ge'!G:G)</f>
        <v>0</v>
      </c>
      <c r="E13" s="20">
        <f t="shared" si="1"/>
        <v>0</v>
      </c>
      <c r="F13">
        <f t="shared" si="2"/>
        <v>0</v>
      </c>
    </row>
    <row r="14" spans="1:6">
      <c r="A14">
        <f>'دليل الحساب'!A12</f>
        <v>17</v>
      </c>
      <c r="B14" t="str">
        <f>VLOOKUP(A14,'دليل الحساب'!A:B,2,FALSE)</f>
        <v xml:space="preserve">مخصص هبوط اسعار الاوراق الماليه </v>
      </c>
      <c r="C14" s="23">
        <f>SUMIF('op &amp; ge'!E:E,'ميزانية مراجعة'!B14,'op &amp; ge'!F:F)</f>
        <v>0</v>
      </c>
      <c r="D14" s="23">
        <f>SUMIF('op &amp; ge'!E:E,'ميزانية مراجعة'!B14,'op &amp; ge'!G:G)</f>
        <v>0</v>
      </c>
      <c r="E14" s="20">
        <f t="shared" si="1"/>
        <v>0</v>
      </c>
      <c r="F14">
        <f t="shared" si="2"/>
        <v>0</v>
      </c>
    </row>
    <row r="15" spans="1:6">
      <c r="A15">
        <f>'دليل الحساب'!A13</f>
        <v>18</v>
      </c>
      <c r="B15" t="str">
        <f>VLOOKUP(A15,'دليل الحساب'!A:B,2,FALSE)</f>
        <v>مخصص هبوط اسعار البضاعه</v>
      </c>
      <c r="C15" s="23">
        <f>SUMIF('op &amp; ge'!E:E,'ميزانية مراجعة'!B15,'op &amp; ge'!F:F)</f>
        <v>0</v>
      </c>
      <c r="D15" s="23">
        <f>SUMIF('op &amp; ge'!E:E,'ميزانية مراجعة'!B15,'op &amp; ge'!G:G)</f>
        <v>0</v>
      </c>
    </row>
    <row r="16" spans="1:6">
      <c r="A16">
        <f>'دليل الحساب'!A14</f>
        <v>19</v>
      </c>
      <c r="B16" t="str">
        <f>VLOOKUP(A16,'دليل الحساب'!A:B,2,FALSE)</f>
        <v>اوراق القبض</v>
      </c>
      <c r="C16" s="23">
        <f>SUMIF('op &amp; ge'!E:E,'ميزانية مراجعة'!B16,'op &amp; ge'!F:F)</f>
        <v>0</v>
      </c>
      <c r="D16" s="23">
        <f>SUMIF('op &amp; ge'!E:E,'ميزانية مراجعة'!B16,'op &amp; ge'!G:G)</f>
        <v>0</v>
      </c>
    </row>
    <row r="17" spans="1:4">
      <c r="A17">
        <f>'دليل الحساب'!A15</f>
        <v>20</v>
      </c>
      <c r="B17">
        <f>VLOOKUP(A17,'دليل الحساب'!A:B,2,FALSE)</f>
        <v>0</v>
      </c>
      <c r="C17" s="23">
        <f>SUMIF('op &amp; ge'!E:E,'ميزانية مراجعة'!B17,'op &amp; ge'!F:F)</f>
        <v>0</v>
      </c>
      <c r="D17" s="23">
        <f>SUMIF('op &amp; ge'!E:E,'ميزانية مراجعة'!B17,'op &amp; ge'!G:G)</f>
        <v>0</v>
      </c>
    </row>
    <row r="18" spans="1:4">
      <c r="A18">
        <f>'دليل الحساب'!A16</f>
        <v>21</v>
      </c>
      <c r="B18" t="str">
        <f>VLOOKUP(A18,'دليل الحساب'!A:B,2,FALSE)</f>
        <v>ايرادات مستحقة</v>
      </c>
      <c r="C18" s="23">
        <f>SUMIF('op &amp; ge'!E:E,'ميزانية مراجعة'!B18,'op &amp; ge'!F:F)</f>
        <v>0</v>
      </c>
      <c r="D18" s="23">
        <f>SUMIF('op &amp; ge'!E:E,'ميزانية مراجعة'!B18,'op &amp; ge'!G:G)</f>
        <v>0</v>
      </c>
    </row>
    <row r="19" spans="1:4">
      <c r="A19">
        <f>'دليل الحساب'!A17</f>
        <v>22</v>
      </c>
      <c r="B19" t="str">
        <f>VLOOKUP(A19,'دليل الحساب'!A:B,2,FALSE)</f>
        <v>مصروفات مدفوعة مقدما</v>
      </c>
      <c r="C19" s="23">
        <f>SUMIF('op &amp; ge'!E:E,'ميزانية مراجعة'!B19,'op &amp; ge'!F:F)</f>
        <v>0</v>
      </c>
      <c r="D19" s="23">
        <f>SUMIF('op &amp; ge'!E:E,'ميزانية مراجعة'!B19,'op &amp; ge'!G:G)</f>
        <v>0</v>
      </c>
    </row>
    <row r="20" spans="1:4">
      <c r="A20">
        <f>'دليل الحساب'!A18</f>
        <v>23</v>
      </c>
      <c r="B20" t="str">
        <f>VLOOKUP(A20,'دليل الحساب'!A:B,2,FALSE)</f>
        <v>استثمار قصيرة اجل</v>
      </c>
      <c r="C20" s="23">
        <f>SUMIF('op &amp; ge'!E:E,'ميزانية مراجعة'!B20,'op &amp; ge'!F:F)</f>
        <v>0</v>
      </c>
      <c r="D20" s="23">
        <f>SUMIF('op &amp; ge'!E:E,'ميزانية مراجعة'!B20,'op &amp; ge'!G:G)</f>
        <v>0</v>
      </c>
    </row>
    <row r="21" spans="1:4">
      <c r="A21">
        <f>'دليل الحساب'!A19</f>
        <v>200</v>
      </c>
      <c r="B21" t="str">
        <f>VLOOKUP(A21,'دليل الحساب'!A:B,2,FALSE)</f>
        <v>موجودات الثابتة</v>
      </c>
      <c r="C21" s="23">
        <f>SUMIF('op &amp; ge'!E:E,'ميزانية مراجعة'!B21,'op &amp; ge'!F:F)</f>
        <v>0</v>
      </c>
      <c r="D21" s="23">
        <f>SUMIF('op &amp; ge'!E:E,'ميزانية مراجعة'!B21,'op &amp; ge'!G:G)</f>
        <v>0</v>
      </c>
    </row>
    <row r="22" spans="1:4">
      <c r="A22">
        <f>'دليل الحساب'!A20</f>
        <v>201</v>
      </c>
      <c r="B22" t="str">
        <f>VLOOKUP(A22,'دليل الحساب'!A:B,2,FALSE)</f>
        <v>الاراضي</v>
      </c>
      <c r="C22" s="23">
        <f>SUMIF('op &amp; ge'!E:E,'ميزانية مراجعة'!B22,'op &amp; ge'!F:F)</f>
        <v>0</v>
      </c>
      <c r="D22" s="23">
        <f>SUMIF('op &amp; ge'!E:E,'ميزانية مراجعة'!B22,'op &amp; ge'!G:G)</f>
        <v>0</v>
      </c>
    </row>
    <row r="23" spans="1:4">
      <c r="A23">
        <f>'دليل الحساب'!A21</f>
        <v>202</v>
      </c>
      <c r="B23" t="str">
        <f>VLOOKUP(A23,'دليل الحساب'!A:B,2,FALSE)</f>
        <v>مخصص اندثار متراكم اراضى</v>
      </c>
      <c r="C23" s="23">
        <f>SUMIF('op &amp; ge'!E:E,'ميزانية مراجعة'!B23,'op &amp; ge'!F:F)</f>
        <v>0</v>
      </c>
      <c r="D23" s="23">
        <f>SUMIF('op &amp; ge'!E:E,'ميزانية مراجعة'!B23,'op &amp; ge'!G:G)</f>
        <v>0</v>
      </c>
    </row>
    <row r="24" spans="1:4">
      <c r="A24">
        <f>'دليل الحساب'!A22</f>
        <v>203</v>
      </c>
      <c r="B24" t="str">
        <f>VLOOKUP(A24,'دليل الحساب'!A:B,2,FALSE)</f>
        <v>المباني</v>
      </c>
      <c r="C24" s="23">
        <f>SUMIF('op &amp; ge'!E:E,'ميزانية مراجعة'!B24,'op &amp; ge'!F:F)</f>
        <v>0</v>
      </c>
      <c r="D24" s="23">
        <f>SUMIF('op &amp; ge'!E:E,'ميزانية مراجعة'!B24,'op &amp; ge'!G:G)</f>
        <v>0</v>
      </c>
    </row>
    <row r="25" spans="1:4">
      <c r="A25">
        <f>'دليل الحساب'!A23</f>
        <v>204</v>
      </c>
      <c r="B25" t="str">
        <f>VLOOKUP(A25,'دليل الحساب'!A:B,2,FALSE)</f>
        <v>مخصص اندثار متراكم مباني</v>
      </c>
      <c r="C25" s="23">
        <f>SUMIF('op &amp; ge'!E:E,'ميزانية مراجعة'!B25,'op &amp; ge'!F:F)</f>
        <v>0</v>
      </c>
      <c r="D25" s="23">
        <f>SUMIF('op &amp; ge'!E:E,'ميزانية مراجعة'!B25,'op &amp; ge'!G:G)</f>
        <v>0</v>
      </c>
    </row>
    <row r="26" spans="1:4">
      <c r="A26">
        <f>'دليل الحساب'!A24</f>
        <v>205</v>
      </c>
      <c r="B26" t="str">
        <f>VLOOKUP(A26,'دليل الحساب'!A:B,2,FALSE)</f>
        <v>السيارات</v>
      </c>
      <c r="C26" s="23">
        <f>SUMIF('op &amp; ge'!E:E,'ميزانية مراجعة'!B26,'op &amp; ge'!F:F)</f>
        <v>0</v>
      </c>
      <c r="D26" s="23">
        <f>SUMIF('op &amp; ge'!E:E,'ميزانية مراجعة'!B26,'op &amp; ge'!G:G)</f>
        <v>0</v>
      </c>
    </row>
    <row r="27" spans="1:4">
      <c r="A27">
        <f>'دليل الحساب'!A25</f>
        <v>206</v>
      </c>
      <c r="B27" t="str">
        <f>VLOOKUP(A27,'دليل الحساب'!A:B,2,FALSE)</f>
        <v>مخصص اندثار متراكم سيارات</v>
      </c>
      <c r="C27" s="23">
        <f>SUMIF('op &amp; ge'!E:E,'ميزانية مراجعة'!B27,'op &amp; ge'!F:F)</f>
        <v>0</v>
      </c>
      <c r="D27" s="23">
        <f>SUMIF('op &amp; ge'!E:E,'ميزانية مراجعة'!B27,'op &amp; ge'!G:G)</f>
        <v>0</v>
      </c>
    </row>
    <row r="28" spans="1:4">
      <c r="A28">
        <f>'دليل الحساب'!A26</f>
        <v>207</v>
      </c>
      <c r="B28" t="str">
        <f>VLOOKUP(A28,'دليل الحساب'!A:B,2,FALSE)</f>
        <v>الاثاث</v>
      </c>
      <c r="C28" s="23">
        <f>SUMIF('op &amp; ge'!E:E,'ميزانية مراجعة'!B28,'op &amp; ge'!F:F)</f>
        <v>0</v>
      </c>
      <c r="D28" s="23">
        <f>SUMIF('op &amp; ge'!E:E,'ميزانية مراجعة'!B28,'op &amp; ge'!G:G)</f>
        <v>0</v>
      </c>
    </row>
    <row r="29" spans="1:4">
      <c r="A29">
        <f>'دليل الحساب'!A27</f>
        <v>208</v>
      </c>
      <c r="B29" t="str">
        <f>VLOOKUP(A29,'دليل الحساب'!A:B,2,FALSE)</f>
        <v>مخصص اندثار متراكم اثاث</v>
      </c>
      <c r="C29" s="23">
        <f>SUMIF('op &amp; ge'!E:E,'ميزانية مراجعة'!B29,'op &amp; ge'!F:F)</f>
        <v>0</v>
      </c>
      <c r="D29" s="23">
        <f>SUMIF('op &amp; ge'!E:E,'ميزانية مراجعة'!B29,'op &amp; ge'!G:G)</f>
        <v>0</v>
      </c>
    </row>
    <row r="30" spans="1:4">
      <c r="A30">
        <f>'دليل الحساب'!A28</f>
        <v>209</v>
      </c>
      <c r="B30" t="str">
        <f>VLOOKUP(A30,'دليل الحساب'!A:B,2,FALSE)</f>
        <v>الات واجهزة</v>
      </c>
      <c r="C30" s="23">
        <f>SUMIF('op &amp; ge'!E:E,'ميزانية مراجعة'!B30,'op &amp; ge'!F:F)</f>
        <v>0</v>
      </c>
      <c r="D30" s="23">
        <f>SUMIF('op &amp; ge'!E:E,'ميزانية مراجعة'!B30,'op &amp; ge'!G:G)</f>
        <v>0</v>
      </c>
    </row>
    <row r="31" spans="1:4">
      <c r="A31">
        <f>'دليل الحساب'!A29</f>
        <v>210</v>
      </c>
      <c r="B31" t="str">
        <f>VLOOKUP(A31,'دليل الحساب'!A:B,2,FALSE)</f>
        <v>مخصص اندثار متراكم</v>
      </c>
      <c r="C31" s="23">
        <f>SUMIF('op &amp; ge'!E:E,'ميزانية مراجعة'!B31,'op &amp; ge'!F:F)</f>
        <v>0</v>
      </c>
      <c r="D31" s="23">
        <f>SUMIF('op &amp; ge'!E:E,'ميزانية مراجعة'!B31,'op &amp; ge'!G:G)</f>
        <v>0</v>
      </c>
    </row>
    <row r="32" spans="1:4">
      <c r="A32">
        <f>'دليل الحساب'!A30</f>
        <v>300</v>
      </c>
      <c r="B32" t="str">
        <f>VLOOKUP(A32,'دليل الحساب'!A:B,2,FALSE)</f>
        <v>موجودات غير الملموسة</v>
      </c>
      <c r="C32" s="23">
        <f>SUMIF('op &amp; ge'!E:E,'ميزانية مراجعة'!B32,'op &amp; ge'!F:F)</f>
        <v>0</v>
      </c>
      <c r="D32" s="23">
        <f>SUMIF('op &amp; ge'!E:E,'ميزانية مراجعة'!B32,'op &amp; ge'!G:G)</f>
        <v>0</v>
      </c>
    </row>
    <row r="33" spans="1:4">
      <c r="A33">
        <f>'دليل الحساب'!A31</f>
        <v>301</v>
      </c>
      <c r="B33" t="str">
        <f>VLOOKUP(A33,'دليل الحساب'!A:B,2,FALSE)</f>
        <v>العلامة التجارية</v>
      </c>
      <c r="C33" s="23">
        <f>SUMIF('op &amp; ge'!E:E,'ميزانية مراجعة'!B33,'op &amp; ge'!F:F)</f>
        <v>0</v>
      </c>
      <c r="D33" s="23">
        <f>SUMIF('op &amp; ge'!E:E,'ميزانية مراجعة'!B33,'op &amp; ge'!G:G)</f>
        <v>0</v>
      </c>
    </row>
    <row r="34" spans="1:4">
      <c r="A34">
        <f>'دليل الحساب'!A32</f>
        <v>302</v>
      </c>
      <c r="B34" t="str">
        <f>VLOOKUP(A34,'دليل الحساب'!A:B,2,FALSE)</f>
        <v>براءة الاختراع</v>
      </c>
      <c r="C34" s="23">
        <f>SUMIF('op &amp; ge'!E:E,'ميزانية مراجعة'!B34,'op &amp; ge'!F:F)</f>
        <v>0</v>
      </c>
      <c r="D34" s="23">
        <f>SUMIF('op &amp; ge'!E:E,'ميزانية مراجعة'!B34,'op &amp; ge'!G:G)</f>
        <v>0</v>
      </c>
    </row>
    <row r="35" spans="1:4">
      <c r="A35">
        <f>'دليل الحساب'!A33</f>
        <v>303</v>
      </c>
      <c r="B35" t="str">
        <f>VLOOKUP(A35,'دليل الحساب'!A:B,2,FALSE)</f>
        <v>الشهرة المحل</v>
      </c>
      <c r="C35" s="23">
        <f>SUMIF('op &amp; ge'!E:E,'ميزانية مراجعة'!B35,'op &amp; ge'!F:F)</f>
        <v>0</v>
      </c>
      <c r="D35" s="23">
        <f>SUMIF('op &amp; ge'!E:E,'ميزانية مراجعة'!B35,'op &amp; ge'!G:G)</f>
        <v>0</v>
      </c>
    </row>
    <row r="36" spans="1:4">
      <c r="A36">
        <f>'دليل الحساب'!A34</f>
        <v>400</v>
      </c>
      <c r="B36" t="str">
        <f>VLOOKUP(A36,'دليل الحساب'!A:B,2,FALSE)</f>
        <v>مطلوبات المتداولة</v>
      </c>
      <c r="C36" s="23">
        <f>SUMIF('op &amp; ge'!E:E,'ميزانية مراجعة'!B36,'op &amp; ge'!F:F)</f>
        <v>0</v>
      </c>
      <c r="D36" s="23">
        <f>SUMIF('op &amp; ge'!E:E,'ميزانية مراجعة'!B36,'op &amp; ge'!G:G)</f>
        <v>0</v>
      </c>
    </row>
    <row r="37" spans="1:4">
      <c r="A37">
        <f>'دليل الحساب'!A35</f>
        <v>401</v>
      </c>
      <c r="B37" t="str">
        <f>VLOOKUP(A37,'دليل الحساب'!A:B,2,FALSE)</f>
        <v>الدائنون</v>
      </c>
      <c r="C37" s="23">
        <f>SUMIF('op &amp; ge'!E:E,'ميزانية مراجعة'!B37,'op &amp; ge'!F:F)</f>
        <v>0</v>
      </c>
      <c r="D37" s="23">
        <f>SUMIF('op &amp; ge'!E:E,'ميزانية مراجعة'!B37,'op &amp; ge'!G:G)</f>
        <v>0</v>
      </c>
    </row>
    <row r="38" spans="1:4">
      <c r="A38">
        <f>'دليل الحساب'!A36</f>
        <v>402</v>
      </c>
      <c r="B38" t="str">
        <f>VLOOKUP(A38,'دليل الحساب'!A:B,2,FALSE)</f>
        <v>موردون</v>
      </c>
      <c r="C38" s="23">
        <f>SUMIF('op &amp; ge'!E:E,'ميزانية مراجعة'!B38,'op &amp; ge'!F:F)</f>
        <v>0</v>
      </c>
      <c r="D38" s="23">
        <f>SUMIF('op &amp; ge'!E:E,'ميزانية مراجعة'!B38,'op &amp; ge'!G:G)</f>
        <v>0</v>
      </c>
    </row>
    <row r="39" spans="1:4">
      <c r="A39">
        <f>'دليل الحساب'!A37</f>
        <v>403</v>
      </c>
      <c r="B39" t="str">
        <f>VLOOKUP(A39,'دليل الحساب'!A:B,2,FALSE)</f>
        <v>اوراق الدفع</v>
      </c>
      <c r="C39" s="23">
        <f>SUMIF('op &amp; ge'!E:E,'ميزانية مراجعة'!B39,'op &amp; ge'!F:F)</f>
        <v>0</v>
      </c>
      <c r="D39" s="23">
        <f>SUMIF('op &amp; ge'!E:E,'ميزانية مراجعة'!B39,'op &amp; ge'!G:G)</f>
        <v>0</v>
      </c>
    </row>
    <row r="40" spans="1:4">
      <c r="A40">
        <f>'دليل الحساب'!A38</f>
        <v>404</v>
      </c>
      <c r="B40" t="str">
        <f>VLOOKUP(A40,'دليل الحساب'!A:B,2,FALSE)</f>
        <v>قروض قصيرة الاجل</v>
      </c>
      <c r="C40" s="23">
        <f>SUMIF('op &amp; ge'!E:E,'ميزانية مراجعة'!B40,'op &amp; ge'!F:F)</f>
        <v>0</v>
      </c>
      <c r="D40" s="23">
        <f>SUMIF('op &amp; ge'!E:E,'ميزانية مراجعة'!B40,'op &amp; ge'!G:G)</f>
        <v>0</v>
      </c>
    </row>
    <row r="41" spans="1:4">
      <c r="A41">
        <f>'دليل الحساب'!A39</f>
        <v>405</v>
      </c>
      <c r="B41" t="str">
        <f>VLOOKUP(A41,'دليل الحساب'!A:B,2,FALSE)</f>
        <v>سلف قصيرة الاجل</v>
      </c>
      <c r="C41" s="23">
        <f>SUMIF('op &amp; ge'!E:E,'ميزانية مراجعة'!B41,'op &amp; ge'!F:F)</f>
        <v>0</v>
      </c>
      <c r="D41" s="23">
        <f>SUMIF('op &amp; ge'!E:E,'ميزانية مراجعة'!B41,'op &amp; ge'!G:G)</f>
        <v>0</v>
      </c>
    </row>
    <row r="42" spans="1:4">
      <c r="A42">
        <f>'دليل الحساب'!A40</f>
        <v>406</v>
      </c>
      <c r="B42" t="str">
        <f>VLOOKUP(A42,'دليل الحساب'!A:B,2,FALSE)</f>
        <v>ايرادات مستلمة مقدما</v>
      </c>
      <c r="C42" s="23">
        <f>SUMIF('op &amp; ge'!E:E,'ميزانية مراجعة'!B42,'op &amp; ge'!F:F)</f>
        <v>0</v>
      </c>
      <c r="D42" s="23">
        <f>SUMIF('op &amp; ge'!E:E,'ميزانية مراجعة'!B42,'op &amp; ge'!G:G)</f>
        <v>0</v>
      </c>
    </row>
    <row r="43" spans="1:4">
      <c r="A43">
        <f>'دليل الحساب'!A41</f>
        <v>407</v>
      </c>
      <c r="B43" t="str">
        <f>VLOOKUP(A43,'دليل الحساب'!A:B,2,FALSE)</f>
        <v>مصروفات مستحقة</v>
      </c>
      <c r="C43" s="23">
        <f>SUMIF('op &amp; ge'!E:E,'ميزانية مراجعة'!B43,'op &amp; ge'!F:F)</f>
        <v>0</v>
      </c>
      <c r="D43" s="23">
        <f>SUMIF('op &amp; ge'!E:E,'ميزانية مراجعة'!B43,'op &amp; ge'!G:G)</f>
        <v>0</v>
      </c>
    </row>
    <row r="44" spans="1:4">
      <c r="A44">
        <f>'دليل الحساب'!A42</f>
        <v>500</v>
      </c>
      <c r="B44" t="str">
        <f>VLOOKUP(A44,'دليل الحساب'!A:B,2,FALSE)</f>
        <v>مطلوبات  غير المتداولة</v>
      </c>
      <c r="C44" s="23">
        <f>SUMIF('op &amp; ge'!E:E,'ميزانية مراجعة'!B44,'op &amp; ge'!F:F)</f>
        <v>0</v>
      </c>
      <c r="D44" s="23">
        <f>SUMIF('op &amp; ge'!E:E,'ميزانية مراجعة'!B44,'op &amp; ge'!G:G)</f>
        <v>0</v>
      </c>
    </row>
    <row r="45" spans="1:4">
      <c r="A45">
        <f>'دليل الحساب'!A43</f>
        <v>501</v>
      </c>
      <c r="B45" t="str">
        <f>VLOOKUP(A45,'دليل الحساب'!A:B,2,FALSE)</f>
        <v>قروض طويلة الاجل</v>
      </c>
      <c r="C45" s="23">
        <f>SUMIF('op &amp; ge'!E:E,'ميزانية مراجعة'!B45,'op &amp; ge'!F:F)</f>
        <v>0</v>
      </c>
      <c r="D45" s="23">
        <f>SUMIF('op &amp; ge'!E:E,'ميزانية مراجعة'!B45,'op &amp; ge'!G:G)</f>
        <v>0</v>
      </c>
    </row>
    <row r="46" spans="1:4">
      <c r="A46">
        <f>'دليل الحساب'!A44</f>
        <v>502</v>
      </c>
      <c r="B46" t="str">
        <f>VLOOKUP(A46,'دليل الحساب'!A:B,2,FALSE)</f>
        <v>سلف طويلة الاجل</v>
      </c>
      <c r="C46" s="23">
        <f>SUMIF('op &amp; ge'!E:E,'ميزانية مراجعة'!B46,'op &amp; ge'!F:F)</f>
        <v>0</v>
      </c>
      <c r="D46" s="23">
        <f>SUMIF('op &amp; ge'!E:E,'ميزانية مراجعة'!B46,'op &amp; ge'!G:G)</f>
        <v>0</v>
      </c>
    </row>
    <row r="47" spans="1:4">
      <c r="A47">
        <f>'دليل الحساب'!A45</f>
        <v>600</v>
      </c>
      <c r="B47" t="str">
        <f>VLOOKUP(A47,'دليل الحساب'!A:B,2,FALSE)</f>
        <v>حقوق الملكية</v>
      </c>
      <c r="C47" s="23">
        <f>SUMIF('op &amp; ge'!E:E,'ميزانية مراجعة'!B47,'op &amp; ge'!F:F)</f>
        <v>0</v>
      </c>
      <c r="D47" s="23">
        <f>SUMIF('op &amp; ge'!E:E,'ميزانية مراجعة'!B47,'op &amp; ge'!G:G)</f>
        <v>0</v>
      </c>
    </row>
    <row r="48" spans="1:4">
      <c r="A48">
        <f>'دليل الحساب'!A46</f>
        <v>601</v>
      </c>
      <c r="B48" t="str">
        <f>VLOOKUP(A48,'دليل الحساب'!A:B,2,FALSE)</f>
        <v>راس المال</v>
      </c>
      <c r="C48" s="23">
        <f>SUMIF('op &amp; ge'!E:E,'ميزانية مراجعة'!B48,'op &amp; ge'!F:F)</f>
        <v>0</v>
      </c>
      <c r="D48" s="23">
        <f>SUMIF('op &amp; ge'!E:E,'ميزانية مراجعة'!B48,'op &amp; ge'!G:G)</f>
        <v>0</v>
      </c>
    </row>
    <row r="49" spans="1:4">
      <c r="A49">
        <f>'دليل الحساب'!A47</f>
        <v>602</v>
      </c>
      <c r="B49" t="str">
        <f>VLOOKUP(A49,'دليل الحساب'!A:B,2,FALSE)</f>
        <v>المسحوبات الشخصية</v>
      </c>
      <c r="C49" s="23">
        <f>SUMIF('op &amp; ge'!E:E,'ميزانية مراجعة'!B49,'op &amp; ge'!F:F)</f>
        <v>0</v>
      </c>
      <c r="D49" s="23">
        <f>SUMIF('op &amp; ge'!E:E,'ميزانية مراجعة'!B49,'op &amp; ge'!G:G)</f>
        <v>0</v>
      </c>
    </row>
    <row r="50" spans="1:4">
      <c r="A50">
        <f>'دليل الحساب'!A48</f>
        <v>603</v>
      </c>
      <c r="B50">
        <f>VLOOKUP(A50,'دليل الحساب'!A:B,2,FALSE)</f>
        <v>0</v>
      </c>
      <c r="C50" s="23">
        <f>SUMIF('op &amp; ge'!E:E,'ميزانية مراجعة'!B50,'op &amp; ge'!F:F)</f>
        <v>0</v>
      </c>
      <c r="D50" s="23">
        <f>SUMIF('op &amp; ge'!E:E,'ميزانية مراجعة'!B50,'op &amp; ge'!G:G)</f>
        <v>0</v>
      </c>
    </row>
    <row r="51" spans="1:4">
      <c r="A51">
        <f>'دليل الحساب'!A49</f>
        <v>604</v>
      </c>
      <c r="B51" t="str">
        <f>VLOOKUP(A51,'دليل الحساب'!A:B,2,FALSE)</f>
        <v>الاحتياطيات</v>
      </c>
      <c r="C51" s="23">
        <f>SUMIF('op &amp; ge'!E:E,'ميزانية مراجعة'!B51,'op &amp; ge'!F:F)</f>
        <v>0</v>
      </c>
      <c r="D51" s="23">
        <f>SUMIF('op &amp; ge'!E:E,'ميزانية مراجعة'!B51,'op &amp; ge'!G:G)</f>
        <v>0</v>
      </c>
    </row>
    <row r="52" spans="1:4">
      <c r="A52">
        <f>'دليل الحساب'!A50</f>
        <v>605</v>
      </c>
      <c r="B52" t="str">
        <f>VLOOKUP(A52,'دليل الحساب'!A:B,2,FALSE)</f>
        <v>الارباح المحتجزة</v>
      </c>
      <c r="C52" s="23">
        <f>SUMIF('op &amp; ge'!E:E,'ميزانية مراجعة'!B52,'op &amp; ge'!F:F)</f>
        <v>0</v>
      </c>
      <c r="D52" s="23">
        <f>SUMIF('op &amp; ge'!E:E,'ميزانية مراجعة'!B52,'op &amp; ge'!G:G)</f>
        <v>0</v>
      </c>
    </row>
    <row r="53" spans="1:4">
      <c r="A53">
        <f>'دليل الحساب'!A51</f>
        <v>700</v>
      </c>
      <c r="B53" t="str">
        <f>VLOOKUP(A53,'دليل الحساب'!A:B,2,FALSE)</f>
        <v>الايرادات</v>
      </c>
      <c r="C53" s="23">
        <f>SUMIF('op &amp; ge'!E:E,'ميزانية مراجعة'!B53,'op &amp; ge'!F:F)</f>
        <v>0</v>
      </c>
      <c r="D53" s="23">
        <f>SUMIF('op &amp; ge'!E:E,'ميزانية مراجعة'!B53,'op &amp; ge'!G:G)</f>
        <v>0</v>
      </c>
    </row>
    <row r="54" spans="1:4">
      <c r="A54">
        <f>'دليل الحساب'!A52</f>
        <v>701</v>
      </c>
      <c r="B54" t="str">
        <f>VLOOKUP(A54,'دليل الحساب'!A:B,2,FALSE)</f>
        <v>المبيعات</v>
      </c>
      <c r="C54" s="23">
        <f>SUMIF('op &amp; ge'!E:E,'ميزانية مراجعة'!B54,'op &amp; ge'!F:F)</f>
        <v>0</v>
      </c>
      <c r="D54" s="23">
        <f>SUMIF('op &amp; ge'!E:E,'ميزانية مراجعة'!B54,'op &amp; ge'!G:G)</f>
        <v>0</v>
      </c>
    </row>
    <row r="55" spans="1:4">
      <c r="A55">
        <f>'دليل الحساب'!A53</f>
        <v>702</v>
      </c>
      <c r="B55" t="str">
        <f>VLOOKUP(A55,'دليل الحساب'!A:B,2,FALSE)</f>
        <v>مردودات المبيعات</v>
      </c>
      <c r="C55" s="23">
        <f>SUMIF('op &amp; ge'!E:E,'ميزانية مراجعة'!B55,'op &amp; ge'!F:F)</f>
        <v>0</v>
      </c>
      <c r="D55" s="23">
        <f>SUMIF('op &amp; ge'!E:E,'ميزانية مراجعة'!B55,'op &amp; ge'!G:G)</f>
        <v>0</v>
      </c>
    </row>
    <row r="56" spans="1:4">
      <c r="A56">
        <f>'دليل الحساب'!A54</f>
        <v>703</v>
      </c>
      <c r="B56" t="str">
        <f>VLOOKUP(A56,'دليل الحساب'!A:B,2,FALSE)</f>
        <v>مسموحات مبيعات</v>
      </c>
      <c r="C56" s="23">
        <f>SUMIF('op &amp; ge'!E:E,'ميزانية مراجعة'!B56,'op &amp; ge'!F:F)</f>
        <v>0</v>
      </c>
      <c r="D56" s="23">
        <f>SUMIF('op &amp; ge'!E:E,'ميزانية مراجعة'!B56,'op &amp; ge'!G:G)</f>
        <v>0</v>
      </c>
    </row>
    <row r="57" spans="1:4">
      <c r="A57">
        <f>'دليل الحساب'!A55</f>
        <v>704</v>
      </c>
      <c r="B57" t="str">
        <f>VLOOKUP(A57,'دليل الحساب'!A:B,2,FALSE)</f>
        <v>الخصم مسموح به</v>
      </c>
      <c r="C57" s="23">
        <f>SUMIF('op &amp; ge'!E:E,'ميزانية مراجعة'!B57,'op &amp; ge'!F:F)</f>
        <v>0</v>
      </c>
      <c r="D57" s="23">
        <f>SUMIF('op &amp; ge'!E:E,'ميزانية مراجعة'!B57,'op &amp; ge'!G:G)</f>
        <v>0</v>
      </c>
    </row>
    <row r="58" spans="1:4">
      <c r="A58">
        <f>'دليل الحساب'!A56</f>
        <v>705</v>
      </c>
      <c r="B58" t="str">
        <f>VLOOKUP(A58,'دليل الحساب'!A:B,2,FALSE)</f>
        <v>الايرادات الاخرى</v>
      </c>
      <c r="C58" s="23">
        <f>SUMIF('op &amp; ge'!E:E,'ميزانية مراجعة'!B58,'op &amp; ge'!F:F)</f>
        <v>0</v>
      </c>
      <c r="D58" s="23">
        <f>SUMIF('op &amp; ge'!E:E,'ميزانية مراجعة'!B58,'op &amp; ge'!G:G)</f>
        <v>0</v>
      </c>
    </row>
    <row r="59" spans="1:4">
      <c r="A59">
        <f>'دليل الحساب'!A57</f>
        <v>706</v>
      </c>
      <c r="B59" t="str">
        <f>VLOOKUP(A59,'دليل الحساب'!A:B,2,FALSE)</f>
        <v xml:space="preserve"> فروقات عمولة مبيعات</v>
      </c>
      <c r="C59" s="23">
        <f>SUMIF('op &amp; ge'!E:E,'ميزانية مراجعة'!B59,'op &amp; ge'!F:F)</f>
        <v>0</v>
      </c>
      <c r="D59" s="23">
        <f>SUMIF('op &amp; ge'!E:E,'ميزانية مراجعة'!B59,'op &amp; ge'!G:G)</f>
        <v>0</v>
      </c>
    </row>
    <row r="60" spans="1:4">
      <c r="A60">
        <f>'دليل الحساب'!A58</f>
        <v>707</v>
      </c>
      <c r="B60" t="str">
        <f>VLOOKUP(A60,'دليل الحساب'!A:B,2,FALSE)</f>
        <v>فوائد دائنة</v>
      </c>
      <c r="C60" s="23">
        <f>SUMIF('op &amp; ge'!E:E,'ميزانية مراجعة'!B60,'op &amp; ge'!F:F)</f>
        <v>0</v>
      </c>
      <c r="D60" s="23">
        <f>SUMIF('op &amp; ge'!E:E,'ميزانية مراجعة'!B60,'op &amp; ge'!G:G)</f>
        <v>0</v>
      </c>
    </row>
    <row r="61" spans="1:4" ht="15">
      <c r="A61">
        <f>'دليل الحساب'!A59</f>
        <v>708</v>
      </c>
      <c r="B61" t="str">
        <f>'دليل الحساب'!B59</f>
        <v>ايرادات الاستثمار ( ربح )</v>
      </c>
      <c r="C61" t="str">
        <f>'دليل الحساب'!C59</f>
        <v xml:space="preserve">قائمة دخل </v>
      </c>
      <c r="D61">
        <f>'دليل الحساب'!D59</f>
        <v>0</v>
      </c>
    </row>
    <row r="62" spans="1:4" ht="15">
      <c r="A62">
        <f>'دليل الحساب'!A60</f>
        <v>709</v>
      </c>
      <c r="B62" t="str">
        <f>'دليل الحساب'!B60</f>
        <v>ارباح اسعار الاوراق الماليه ( سهم و سندات )</v>
      </c>
      <c r="C62" t="str">
        <f>'دليل الحساب'!C60</f>
        <v xml:space="preserve">قائمة دخل </v>
      </c>
      <c r="D62">
        <f>'دليل الحساب'!D60</f>
        <v>0</v>
      </c>
    </row>
    <row r="63" spans="1:4" ht="15">
      <c r="A63">
        <f>'دليل الحساب'!A61</f>
        <v>710</v>
      </c>
      <c r="B63" t="str">
        <f>'دليل الحساب'!B61</f>
        <v>ايرادات الايجار</v>
      </c>
      <c r="C63" t="str">
        <f>'دليل الحساب'!C61</f>
        <v xml:space="preserve">قائمة دخل </v>
      </c>
      <c r="D63">
        <f>'دليل الحساب'!D61</f>
        <v>0</v>
      </c>
    </row>
    <row r="64" spans="1:4" ht="15">
      <c r="A64">
        <f>'دليل الحساب'!A62</f>
        <v>800</v>
      </c>
      <c r="B64" t="str">
        <f>'دليل الحساب'!B62</f>
        <v>المصروفات</v>
      </c>
      <c r="C64">
        <f>'دليل الحساب'!C62</f>
        <v>0</v>
      </c>
      <c r="D64">
        <f>'دليل الحساب'!D62</f>
        <v>0</v>
      </c>
    </row>
    <row r="65" spans="1:4" ht="15">
      <c r="A65">
        <f>'دليل الحساب'!A63</f>
        <v>801</v>
      </c>
      <c r="B65" t="str">
        <f>'دليل الحساب'!B63</f>
        <v>المشتريات</v>
      </c>
      <c r="C65" t="str">
        <f>'دليل الحساب'!C63</f>
        <v xml:space="preserve">قائمة دخل </v>
      </c>
      <c r="D65">
        <f>'دليل الحساب'!D63</f>
        <v>0</v>
      </c>
    </row>
    <row r="66" spans="1:4" ht="15">
      <c r="A66">
        <f>'دليل الحساب'!A64</f>
        <v>802</v>
      </c>
      <c r="B66" t="str">
        <f>'دليل الحساب'!B64</f>
        <v>مسموحات مشتريات</v>
      </c>
      <c r="C66" t="str">
        <f>'دليل الحساب'!C64</f>
        <v xml:space="preserve">قائمة دخل </v>
      </c>
      <c r="D66">
        <f>'دليل الحساب'!D64</f>
        <v>0</v>
      </c>
    </row>
    <row r="67" spans="1:4" ht="15">
      <c r="A67">
        <f>'دليل الحساب'!A65</f>
        <v>803</v>
      </c>
      <c r="B67" t="str">
        <f>'دليل الحساب'!B65</f>
        <v>مردودات المشتريات</v>
      </c>
      <c r="C67" t="str">
        <f>'دليل الحساب'!C65</f>
        <v xml:space="preserve">قائمة دخل </v>
      </c>
      <c r="D67">
        <f>'دليل الحساب'!D65</f>
        <v>0</v>
      </c>
    </row>
    <row r="68" spans="1:4" ht="15">
      <c r="A68">
        <f>'دليل الحساب'!A66</f>
        <v>804</v>
      </c>
      <c r="B68" t="str">
        <f>'دليل الحساب'!B66</f>
        <v>الخصم مكتسب</v>
      </c>
      <c r="C68" t="str">
        <f>'دليل الحساب'!C66</f>
        <v xml:space="preserve">قائمة دخل </v>
      </c>
      <c r="D68">
        <f>'دليل الحساب'!D66</f>
        <v>0</v>
      </c>
    </row>
    <row r="69" spans="1:4" ht="15">
      <c r="A69">
        <f>'دليل الحساب'!A67</f>
        <v>805</v>
      </c>
      <c r="B69" t="str">
        <f>'دليل الحساب'!B67</f>
        <v xml:space="preserve">رسوم كمركية شراء </v>
      </c>
      <c r="C69" t="str">
        <f>'دليل الحساب'!C67</f>
        <v xml:space="preserve">قائمة دخل </v>
      </c>
      <c r="D69">
        <f>'دليل الحساب'!D67</f>
        <v>0</v>
      </c>
    </row>
    <row r="70" spans="1:4" ht="15">
      <c r="A70">
        <f>'دليل الحساب'!A68</f>
        <v>806</v>
      </c>
      <c r="B70" t="str">
        <f>'دليل الحساب'!B68</f>
        <v xml:space="preserve">مصاريف اجور عمال شراء </v>
      </c>
      <c r="C70" t="str">
        <f>'دليل الحساب'!C68</f>
        <v xml:space="preserve">قائمة دخل </v>
      </c>
      <c r="D70">
        <f>'دليل الحساب'!D68</f>
        <v>0</v>
      </c>
    </row>
    <row r="71" spans="1:4" ht="15">
      <c r="A71">
        <f>'دليل الحساب'!A69</f>
        <v>807</v>
      </c>
      <c r="B71" t="str">
        <f>'دليل الحساب'!B69</f>
        <v>عمولة وكلاء شراء</v>
      </c>
      <c r="C71" t="str">
        <f>'دليل الحساب'!C69</f>
        <v xml:space="preserve">قائمة دخل </v>
      </c>
      <c r="D71">
        <f>'دليل الحساب'!D69</f>
        <v>0</v>
      </c>
    </row>
    <row r="72" spans="1:4" ht="15">
      <c r="A72">
        <f>'دليل الحساب'!A70</f>
        <v>808</v>
      </c>
      <c r="B72" t="str">
        <f>'دليل الحساب'!B70</f>
        <v>مصاريف نقل شراء</v>
      </c>
      <c r="C72" t="str">
        <f>'دليل الحساب'!C70</f>
        <v xml:space="preserve">قائمة دخل </v>
      </c>
      <c r="D72">
        <f>'دليل الحساب'!D70</f>
        <v>0</v>
      </c>
    </row>
    <row r="73" spans="1:4" ht="15">
      <c r="A73">
        <f>'دليل الحساب'!A71</f>
        <v>809</v>
      </c>
      <c r="B73" t="str">
        <f>'دليل الحساب'!B71</f>
        <v>مصاريف غير تشغيلية</v>
      </c>
      <c r="C73">
        <f>'دليل الحساب'!C71</f>
        <v>0</v>
      </c>
      <c r="D73">
        <f>'دليل الحساب'!D71</f>
        <v>0</v>
      </c>
    </row>
    <row r="74" spans="1:4" ht="15">
      <c r="A74">
        <f>'دليل الحساب'!A72</f>
        <v>810</v>
      </c>
      <c r="B74" t="str">
        <f>'دليل الحساب'!B72</f>
        <v>عمولات بنك</v>
      </c>
      <c r="C74" t="str">
        <f>'دليل الحساب'!C72</f>
        <v xml:space="preserve">قائمة دخل </v>
      </c>
      <c r="D74">
        <f>'دليل الحساب'!D72</f>
        <v>0</v>
      </c>
    </row>
    <row r="75" spans="1:4" ht="15">
      <c r="A75">
        <f>'دليل الحساب'!A73</f>
        <v>811</v>
      </c>
      <c r="B75" t="str">
        <f>'دليل الحساب'!B73</f>
        <v>قرطاسية</v>
      </c>
      <c r="C75" t="str">
        <f>'دليل الحساب'!C73</f>
        <v xml:space="preserve">قائمة دخل </v>
      </c>
      <c r="D75">
        <f>'دليل الحساب'!D73</f>
        <v>0</v>
      </c>
    </row>
    <row r="76" spans="1:4" ht="15">
      <c r="A76">
        <f>'دليل الحساب'!A74</f>
        <v>812</v>
      </c>
      <c r="B76" t="str">
        <f>'دليل الحساب'!B74</f>
        <v>فروقات عمولة بيع</v>
      </c>
      <c r="C76" t="str">
        <f>'دليل الحساب'!C74</f>
        <v xml:space="preserve">قائمة دخل </v>
      </c>
      <c r="D76">
        <f>'دليل الحساب'!D74</f>
        <v>0</v>
      </c>
    </row>
    <row r="77" spans="1:4" ht="15">
      <c r="A77">
        <f>'دليل الحساب'!A75</f>
        <v>813</v>
      </c>
      <c r="B77" t="str">
        <f>'دليل الحساب'!B75</f>
        <v>فوائد مدينة</v>
      </c>
      <c r="C77" t="str">
        <f>'دليل الحساب'!C75</f>
        <v xml:space="preserve">قائمة دخل </v>
      </c>
      <c r="D77">
        <f>'دليل الحساب'!D75</f>
        <v>0</v>
      </c>
    </row>
    <row r="78" spans="1:4" ht="15">
      <c r="A78">
        <f>'دليل الحساب'!A76</f>
        <v>814</v>
      </c>
      <c r="B78" t="str">
        <f>'دليل الحساب'!B76</f>
        <v>خسائر بيع أصول ثابت</v>
      </c>
      <c r="C78" t="str">
        <f>'دليل الحساب'!C76</f>
        <v xml:space="preserve">قائمة دخل </v>
      </c>
      <c r="D78">
        <f>'دليل الحساب'!D76</f>
        <v>0</v>
      </c>
    </row>
    <row r="79" spans="1:4" ht="15">
      <c r="A79">
        <f>'دليل الحساب'!A77</f>
        <v>815</v>
      </c>
      <c r="B79" t="str">
        <f>'دليل الحساب'!B77</f>
        <v>خسائر تلف أو حريق</v>
      </c>
      <c r="C79" t="str">
        <f>'دليل الحساب'!C77</f>
        <v xml:space="preserve">قائمة دخل </v>
      </c>
      <c r="D79">
        <f>'دليل الحساب'!D77</f>
        <v>0</v>
      </c>
    </row>
    <row r="80" spans="1:4" ht="15">
      <c r="A80">
        <f>'دليل الحساب'!A78</f>
        <v>816</v>
      </c>
      <c r="B80" t="str">
        <f>'دليل الحساب'!B78</f>
        <v>مصاريف قرطاسية</v>
      </c>
      <c r="C80">
        <f>'دليل الحساب'!C78</f>
        <v>0</v>
      </c>
      <c r="D80">
        <f>'دليل الحساب'!D78</f>
        <v>0</v>
      </c>
    </row>
    <row r="81" spans="1:4" ht="15">
      <c r="A81">
        <f>'دليل الحساب'!A79</f>
        <v>817</v>
      </c>
      <c r="B81" t="str">
        <f>'دليل الحساب'!B79</f>
        <v>عمولات بيع وكلاء</v>
      </c>
      <c r="C81" t="str">
        <f>'دليل الحساب'!C79</f>
        <v xml:space="preserve">قائمة دخل </v>
      </c>
      <c r="D81">
        <f>'دليل الحساب'!D79</f>
        <v>0</v>
      </c>
    </row>
    <row r="82" spans="1:4" ht="15">
      <c r="A82">
        <f>'دليل الحساب'!A80</f>
        <v>818</v>
      </c>
      <c r="B82" t="str">
        <f>'دليل الحساب'!B80</f>
        <v>ايجار معرض</v>
      </c>
      <c r="C82" t="str">
        <f>'دليل الحساب'!C80</f>
        <v xml:space="preserve">قائمة دخل </v>
      </c>
      <c r="D82">
        <f>'دليل الحساب'!D80</f>
        <v>0</v>
      </c>
    </row>
    <row r="83" spans="1:4" ht="15">
      <c r="A83">
        <f>'دليل الحساب'!A81</f>
        <v>819</v>
      </c>
      <c r="B83" t="str">
        <f>'دليل الحساب'!B81</f>
        <v>ايجار محل</v>
      </c>
      <c r="C83" t="str">
        <f>'دليل الحساب'!C81</f>
        <v xml:space="preserve">قائمة دخل </v>
      </c>
      <c r="D83">
        <f>'دليل الحساب'!D81</f>
        <v>0</v>
      </c>
    </row>
    <row r="84" spans="1:4" ht="15">
      <c r="A84">
        <f>'دليل الحساب'!A82</f>
        <v>820</v>
      </c>
      <c r="B84" t="str">
        <f>'دليل الحساب'!B82</f>
        <v>ايجار مخزن</v>
      </c>
      <c r="C84" t="str">
        <f>'دليل الحساب'!C82</f>
        <v xml:space="preserve">قائمة دخل </v>
      </c>
      <c r="D84">
        <f>'دليل الحساب'!D82</f>
        <v>0</v>
      </c>
    </row>
    <row r="85" spans="1:4" ht="15">
      <c r="A85">
        <f>'دليل الحساب'!A83</f>
        <v>821</v>
      </c>
      <c r="B85" t="str">
        <f>'دليل الحساب'!B83</f>
        <v>دعاية واعلان</v>
      </c>
      <c r="C85" t="str">
        <f>'دليل الحساب'!C83</f>
        <v xml:space="preserve">قائمة دخل </v>
      </c>
      <c r="D85">
        <f>'دليل الحساب'!D83</f>
        <v>0</v>
      </c>
    </row>
    <row r="86" spans="1:4" ht="15">
      <c r="A86">
        <f>'دليل الحساب'!A84</f>
        <v>822</v>
      </c>
      <c r="B86" t="str">
        <f>'دليل الحساب'!B84</f>
        <v>مصاريف نقل</v>
      </c>
      <c r="C86" t="str">
        <f>'دليل الحساب'!C84</f>
        <v xml:space="preserve">قائمة دخل </v>
      </c>
      <c r="D86">
        <f>'دليل الحساب'!D84</f>
        <v>0</v>
      </c>
    </row>
    <row r="87" spans="1:4" ht="15">
      <c r="A87">
        <f>'دليل الحساب'!A85</f>
        <v>823</v>
      </c>
      <c r="B87" t="str">
        <f>'دليل الحساب'!B85</f>
        <v>مصاريف البيع والتسويق</v>
      </c>
      <c r="C87" t="str">
        <f>'دليل الحساب'!C85</f>
        <v xml:space="preserve">قائمة دخل </v>
      </c>
      <c r="D87">
        <f>'دليل الحساب'!D85</f>
        <v>0</v>
      </c>
    </row>
    <row r="88" spans="1:4" ht="15">
      <c r="A88">
        <f>'دليل الحساب'!A86</f>
        <v>824</v>
      </c>
      <c r="B88" t="str">
        <f>'دليل الحساب'!B86</f>
        <v>ديون معدومة</v>
      </c>
      <c r="C88" t="str">
        <f>'دليل الحساب'!C86</f>
        <v xml:space="preserve">قائمة دخل </v>
      </c>
      <c r="D88">
        <f>'دليل الحساب'!D86</f>
        <v>0</v>
      </c>
    </row>
    <row r="89" spans="1:4" ht="15">
      <c r="A89">
        <f>'دليل الحساب'!A87</f>
        <v>825</v>
      </c>
      <c r="B89" t="str">
        <f>'دليل الحساب'!B87</f>
        <v>هبوط اسعار البضاعه ( خسائر هبوط أسعار المخزون</v>
      </c>
      <c r="C89" t="str">
        <f>'دليل الحساب'!C87</f>
        <v xml:space="preserve">قائمة دخل </v>
      </c>
      <c r="D89">
        <f>'دليل الحساب'!D87</f>
        <v>0</v>
      </c>
    </row>
    <row r="90" spans="1:4" ht="15">
      <c r="A90">
        <f>'دليل الحساب'!A88</f>
        <v>826</v>
      </c>
      <c r="B90" t="str">
        <f>'دليل الحساب'!B88</f>
        <v>خسائرهبوط اسعار الاوراق الماليه ( سهم و سندات )محتملة</v>
      </c>
      <c r="C90" t="str">
        <f>'دليل الحساب'!C88</f>
        <v xml:space="preserve">قائمة دخل </v>
      </c>
      <c r="D90">
        <f>'دليل الحساب'!D88</f>
        <v>0</v>
      </c>
    </row>
    <row r="91" spans="1:4" ht="15">
      <c r="A91">
        <f>'دليل الحساب'!A89</f>
        <v>827</v>
      </c>
      <c r="B91" t="str">
        <f>'دليل الحساب'!B89</f>
        <v>مصاريف ادارية وعمومية</v>
      </c>
      <c r="C91">
        <f>'دليل الحساب'!C89</f>
        <v>0</v>
      </c>
      <c r="D91">
        <f>'دليل الحساب'!D89</f>
        <v>0</v>
      </c>
    </row>
    <row r="92" spans="1:4" ht="15">
      <c r="A92">
        <f>'دليل الحساب'!A90</f>
        <v>828</v>
      </c>
      <c r="B92" t="str">
        <f>'دليل الحساب'!B90</f>
        <v>التامين</v>
      </c>
      <c r="C92" t="str">
        <f>'دليل الحساب'!C90</f>
        <v xml:space="preserve">قائمة دخل </v>
      </c>
      <c r="D92">
        <f>'دليل الحساب'!D90</f>
        <v>0</v>
      </c>
    </row>
    <row r="93" spans="1:4" ht="15">
      <c r="A93">
        <f>'دليل الحساب'!A91</f>
        <v>829</v>
      </c>
      <c r="B93" t="str">
        <f>'دليل الحساب'!B91</f>
        <v>رواتب واجور</v>
      </c>
      <c r="C93" t="str">
        <f>'دليل الحساب'!C91</f>
        <v xml:space="preserve">قائمة دخل </v>
      </c>
      <c r="D93">
        <f>'دليل الحساب'!D91</f>
        <v>0</v>
      </c>
    </row>
    <row r="94" spans="1:4" ht="15">
      <c r="A94">
        <f>'دليل الحساب'!A92</f>
        <v>830</v>
      </c>
      <c r="B94" t="str">
        <f>'دليل الحساب'!B92</f>
        <v xml:space="preserve"> ديون مشكوك فيها</v>
      </c>
      <c r="C94" t="str">
        <f>'دليل الحساب'!C92</f>
        <v xml:space="preserve">قائمة دخل </v>
      </c>
      <c r="D94">
        <f>'دليل الحساب'!D92</f>
        <v>0</v>
      </c>
    </row>
    <row r="95" spans="1:4" ht="15">
      <c r="A95">
        <f>'دليل الحساب'!A93</f>
        <v>831</v>
      </c>
      <c r="B95" t="str">
        <f>'دليل الحساب'!B93</f>
        <v xml:space="preserve">خدمات قانونية </v>
      </c>
      <c r="C95" t="str">
        <f>'دليل الحساب'!C93</f>
        <v xml:space="preserve">قائمة دخل </v>
      </c>
      <c r="D95">
        <f>'دليل الحساب'!D93</f>
        <v>0</v>
      </c>
    </row>
    <row r="96" spans="1:4" ht="15">
      <c r="A96">
        <f>'دليل الحساب'!A94</f>
        <v>832</v>
      </c>
      <c r="B96" t="str">
        <f>'دليل الحساب'!B94</f>
        <v>التلفون</v>
      </c>
      <c r="C96" t="str">
        <f>'دليل الحساب'!C94</f>
        <v xml:space="preserve">قائمة دخل </v>
      </c>
      <c r="D96">
        <f>'دليل الحساب'!D94</f>
        <v>0</v>
      </c>
    </row>
    <row r="97" spans="1:4" ht="15">
      <c r="A97">
        <f>'دليل الحساب'!A95</f>
        <v>833</v>
      </c>
      <c r="B97" t="str">
        <f>'دليل الحساب'!B95</f>
        <v>الكهرباء</v>
      </c>
      <c r="C97" t="str">
        <f>'دليل الحساب'!C95</f>
        <v xml:space="preserve">قائمة دخل </v>
      </c>
      <c r="D97">
        <f>'دليل الحساب'!D95</f>
        <v>0</v>
      </c>
    </row>
    <row r="98" spans="1:4" ht="15">
      <c r="A98">
        <f>'دليل الحساب'!A96</f>
        <v>834</v>
      </c>
      <c r="B98" t="str">
        <f>'دليل الحساب'!B96</f>
        <v xml:space="preserve">الايجارات </v>
      </c>
      <c r="C98" t="str">
        <f>'دليل الحساب'!C96</f>
        <v xml:space="preserve">قائمة دخل </v>
      </c>
      <c r="D98">
        <f>'دليل الحساب'!D96</f>
        <v>0</v>
      </c>
    </row>
    <row r="99" spans="1:4" ht="15">
      <c r="A99">
        <f>'دليل الحساب'!A97</f>
        <v>835</v>
      </c>
      <c r="B99" t="str">
        <f>'دليل الحساب'!B97</f>
        <v>ضريبة دخل</v>
      </c>
      <c r="C99">
        <f>'دليل الحساب'!C97</f>
        <v>0</v>
      </c>
      <c r="D99">
        <f>'دليل الحساب'!D97</f>
        <v>0</v>
      </c>
    </row>
    <row r="100" spans="1:4" ht="15">
      <c r="A100">
        <f>'دليل الحساب'!A98</f>
        <v>0</v>
      </c>
      <c r="B100">
        <f>'دليل الحساب'!B98</f>
        <v>0</v>
      </c>
      <c r="C100">
        <f>'دليل الحساب'!C98</f>
        <v>0</v>
      </c>
      <c r="D100">
        <f>'دليل الحساب'!D98</f>
        <v>0</v>
      </c>
    </row>
    <row r="101" spans="1:4" ht="15">
      <c r="A101">
        <f>'دليل الحساب'!A99</f>
        <v>0</v>
      </c>
      <c r="B101">
        <f>'دليل الحساب'!B99</f>
        <v>0</v>
      </c>
      <c r="C101">
        <f>'دليل الحساب'!C99</f>
        <v>0</v>
      </c>
      <c r="D101">
        <f>'دليل الحساب'!D99</f>
        <v>0</v>
      </c>
    </row>
    <row r="102" spans="1:4" ht="15">
      <c r="A102">
        <f>'دليل الحساب'!A100</f>
        <v>0</v>
      </c>
      <c r="B102">
        <f>'دليل الحساب'!B100</f>
        <v>0</v>
      </c>
      <c r="C102">
        <f>'دليل الحساب'!C100</f>
        <v>0</v>
      </c>
      <c r="D102">
        <f>'دليل الحساب'!D100</f>
        <v>0</v>
      </c>
    </row>
    <row r="103" spans="1:4" ht="15">
      <c r="A103">
        <f>'دليل الحساب'!A101</f>
        <v>0</v>
      </c>
      <c r="B103">
        <f>'دليل الحساب'!B101</f>
        <v>0</v>
      </c>
      <c r="C103">
        <f>'دليل الحساب'!C101</f>
        <v>0</v>
      </c>
      <c r="D103">
        <f>'دليل الحساب'!D101</f>
        <v>0</v>
      </c>
    </row>
    <row r="104" spans="1:4" ht="15">
      <c r="A104">
        <f>'دليل الحساب'!A102</f>
        <v>0</v>
      </c>
      <c r="B104">
        <f>'دليل الحساب'!B102</f>
        <v>0</v>
      </c>
      <c r="C104">
        <f>'دليل الحساب'!C102</f>
        <v>0</v>
      </c>
      <c r="D104">
        <f>'دليل الحساب'!D102</f>
        <v>0</v>
      </c>
    </row>
    <row r="105" spans="1:4" ht="15">
      <c r="A105">
        <f>'دليل الحساب'!A103</f>
        <v>0</v>
      </c>
      <c r="B105">
        <f>'دليل الحساب'!B103</f>
        <v>0</v>
      </c>
      <c r="C105">
        <f>'دليل الحساب'!C103</f>
        <v>0</v>
      </c>
      <c r="D105">
        <f>'دليل الحساب'!D103</f>
        <v>0</v>
      </c>
    </row>
    <row r="106" spans="1:4" ht="15">
      <c r="A106">
        <f>'دليل الحساب'!A104</f>
        <v>0</v>
      </c>
      <c r="B106">
        <f>'دليل الحساب'!B104</f>
        <v>0</v>
      </c>
      <c r="C106">
        <f>'دليل الحساب'!C104</f>
        <v>0</v>
      </c>
      <c r="D106">
        <f>'دليل الحساب'!D104</f>
        <v>0</v>
      </c>
    </row>
    <row r="107" spans="1:4" ht="15">
      <c r="A107">
        <f>'دليل الحساب'!A105</f>
        <v>0</v>
      </c>
      <c r="B107">
        <f>'دليل الحساب'!B105</f>
        <v>0</v>
      </c>
      <c r="C107">
        <f>'دليل الحساب'!C105</f>
        <v>0</v>
      </c>
      <c r="D107">
        <f>'دليل الحساب'!D105</f>
        <v>0</v>
      </c>
    </row>
    <row r="108" spans="1:4" ht="15">
      <c r="A108">
        <f>'دليل الحساب'!A106</f>
        <v>0</v>
      </c>
      <c r="B108">
        <f>'دليل الحساب'!B106</f>
        <v>0</v>
      </c>
      <c r="C108">
        <f>'دليل الحساب'!C106</f>
        <v>0</v>
      </c>
      <c r="D108">
        <f>'دليل الحساب'!D106</f>
        <v>0</v>
      </c>
    </row>
    <row r="109" spans="1:4" ht="15">
      <c r="A109">
        <f>'دليل الحساب'!A107</f>
        <v>0</v>
      </c>
      <c r="B109">
        <f>'دليل الحساب'!B107</f>
        <v>0</v>
      </c>
      <c r="C109">
        <f>'دليل الحساب'!C107</f>
        <v>0</v>
      </c>
      <c r="D109">
        <f>'دليل الحساب'!D107</f>
        <v>0</v>
      </c>
    </row>
    <row r="110" spans="1:4" ht="15">
      <c r="A110">
        <f>'دليل الحساب'!A108</f>
        <v>0</v>
      </c>
      <c r="B110">
        <f>'دليل الحساب'!B108</f>
        <v>0</v>
      </c>
      <c r="C110">
        <f>'دليل الحساب'!C108</f>
        <v>0</v>
      </c>
      <c r="D110">
        <f>'دليل الحساب'!D108</f>
        <v>0</v>
      </c>
    </row>
    <row r="111" spans="1:4" ht="15">
      <c r="A111">
        <f>'دليل الحساب'!A109</f>
        <v>0</v>
      </c>
      <c r="B111">
        <f>'دليل الحساب'!B109</f>
        <v>0</v>
      </c>
      <c r="C111">
        <f>'دليل الحساب'!C109</f>
        <v>0</v>
      </c>
      <c r="D111">
        <f>'دليل الحساب'!D109</f>
        <v>0</v>
      </c>
    </row>
  </sheetData>
  <mergeCells count="5">
    <mergeCell ref="A5:A6"/>
    <mergeCell ref="B5:B6"/>
    <mergeCell ref="C5:D5"/>
    <mergeCell ref="E5:F5"/>
    <mergeCell ref="C3:D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CBA2-F700-4F4B-86F3-DDE9C3E44E66}">
  <dimension ref="A2:F52"/>
  <sheetViews>
    <sheetView rightToLeft="1" tabSelected="1" topLeftCell="A36" workbookViewId="0">
      <selection activeCell="E51" sqref="E51"/>
    </sheetView>
  </sheetViews>
  <sheetFormatPr defaultRowHeight="15"/>
  <cols>
    <col min="1" max="1" width="18.5703125" customWidth="1"/>
    <col min="3" max="3" width="10.85546875" customWidth="1"/>
  </cols>
  <sheetData>
    <row r="2" spans="1:6">
      <c r="C2" s="39" t="s">
        <v>118</v>
      </c>
      <c r="D2" s="39"/>
    </row>
    <row r="6" spans="1:6">
      <c r="A6" s="36" t="s">
        <v>110</v>
      </c>
      <c r="B6" s="36" t="s">
        <v>115</v>
      </c>
      <c r="C6" s="36" t="s">
        <v>116</v>
      </c>
      <c r="D6" s="36"/>
      <c r="E6" s="36"/>
      <c r="F6" s="36"/>
    </row>
    <row r="7" spans="1:6">
      <c r="A7" t="str">
        <f>'ميزانية مراجعة'!B54</f>
        <v>المبيعات</v>
      </c>
      <c r="B7">
        <f>'ميزانية مراجعة'!D54</f>
        <v>0</v>
      </c>
    </row>
    <row r="8" spans="1:6">
      <c r="A8" t="str">
        <f>'ميزانية مراجعة'!B55</f>
        <v>مردودات المبيعات</v>
      </c>
      <c r="B8">
        <f>'ميزانية مراجعة'!D55</f>
        <v>0</v>
      </c>
    </row>
    <row r="9" spans="1:6">
      <c r="A9" t="str">
        <f>'ميزانية مراجعة'!B56</f>
        <v>مسموحات مبيعات</v>
      </c>
      <c r="B9">
        <f>'ميزانية مراجعة'!D56</f>
        <v>0</v>
      </c>
    </row>
    <row r="10" spans="1:6">
      <c r="A10" t="str">
        <f>'ميزانية مراجعة'!B57</f>
        <v>الخصم مسموح به</v>
      </c>
      <c r="B10">
        <f>'ميزانية مراجعة'!D57</f>
        <v>0</v>
      </c>
    </row>
    <row r="11" spans="1:6">
      <c r="A11" t="str">
        <f>'ميزانية مراجعة'!B58</f>
        <v>الايرادات الاخرى</v>
      </c>
      <c r="B11">
        <f>'ميزانية مراجعة'!D58</f>
        <v>0</v>
      </c>
    </row>
    <row r="12" spans="1:6">
      <c r="A12" t="str">
        <f>'ميزانية مراجعة'!B59</f>
        <v xml:space="preserve"> فروقات عمولة مبيعات</v>
      </c>
      <c r="B12">
        <f>'ميزانية مراجعة'!D59</f>
        <v>0</v>
      </c>
    </row>
    <row r="13" spans="1:6">
      <c r="A13" t="str">
        <f>'ميزانية مراجعة'!B60</f>
        <v>فوائد دائنة</v>
      </c>
      <c r="B13">
        <f>'ميزانية مراجعة'!D60</f>
        <v>0</v>
      </c>
    </row>
    <row r="14" spans="1:6">
      <c r="A14" t="str">
        <f>'ميزانية مراجعة'!B61</f>
        <v>ايرادات الاستثمار ( ربح )</v>
      </c>
      <c r="B14">
        <f>'ميزانية مراجعة'!D61</f>
        <v>0</v>
      </c>
    </row>
    <row r="15" spans="1:6" ht="28.5">
      <c r="A15" s="40" t="s">
        <v>119</v>
      </c>
      <c r="B15">
        <f>'ميزانية مراجعة'!D62</f>
        <v>0</v>
      </c>
      <c r="C15">
        <f>B8-B9-B10-B11-B13-B12-B14</f>
        <v>0</v>
      </c>
    </row>
    <row r="16" spans="1:6">
      <c r="A16" t="s">
        <v>9</v>
      </c>
      <c r="B16">
        <f>'ميزانية مراجعة'!E12</f>
        <v>0</v>
      </c>
    </row>
    <row r="17" spans="1:3">
      <c r="A17" t="str">
        <f>'ميزانية مراجعة'!B65</f>
        <v>المشتريات</v>
      </c>
      <c r="B17">
        <f>'ميزانية مراجعة'!E65</f>
        <v>0</v>
      </c>
    </row>
    <row r="18" spans="1:3">
      <c r="A18" t="str">
        <f>'ميزانية مراجعة'!B65</f>
        <v>المشتريات</v>
      </c>
    </row>
    <row r="19" spans="1:3">
      <c r="A19" t="str">
        <f>'ميزانية مراجعة'!B66</f>
        <v>مسموحات مشتريات</v>
      </c>
      <c r="B19">
        <f>'ميزانية مراجعة'!E66</f>
        <v>0</v>
      </c>
    </row>
    <row r="20" spans="1:3">
      <c r="A20" t="str">
        <f>'ميزانية مراجعة'!B67</f>
        <v>مردودات المشتريات</v>
      </c>
      <c r="B20">
        <f>'ميزانية مراجعة'!E67</f>
        <v>0</v>
      </c>
    </row>
    <row r="21" spans="1:3">
      <c r="A21" t="str">
        <f>'ميزانية مراجعة'!B68</f>
        <v>الخصم مكتسب</v>
      </c>
      <c r="B21">
        <f>'ميزانية مراجعة'!E68</f>
        <v>0</v>
      </c>
    </row>
    <row r="22" spans="1:3">
      <c r="A22" t="str">
        <f>'ميزانية مراجعة'!B69</f>
        <v xml:space="preserve">رسوم كمركية شراء </v>
      </c>
      <c r="B22">
        <f>'ميزانية مراجعة'!E69</f>
        <v>0</v>
      </c>
    </row>
    <row r="23" spans="1:3">
      <c r="A23" t="str">
        <f>'ميزانية مراجعة'!B70</f>
        <v xml:space="preserve">مصاريف اجور عمال شراء </v>
      </c>
      <c r="B23">
        <f>'ميزانية مراجعة'!E70</f>
        <v>0</v>
      </c>
    </row>
    <row r="24" spans="1:3">
      <c r="A24" t="str">
        <f>'ميزانية مراجعة'!B71</f>
        <v>عمولة وكلاء شراء</v>
      </c>
      <c r="B24">
        <f>'ميزانية مراجعة'!E71</f>
        <v>0</v>
      </c>
    </row>
    <row r="25" spans="1:3">
      <c r="A25" t="str">
        <f>'ميزانية مراجعة'!B72</f>
        <v>مصاريف نقل شراء</v>
      </c>
      <c r="B25">
        <f>'ميزانية مراجعة'!E72</f>
        <v>0</v>
      </c>
    </row>
    <row r="26" spans="1:3">
      <c r="A26" t="s">
        <v>120</v>
      </c>
      <c r="B26">
        <f>B17-B19-B20-B21+B22+B23+B24+B25</f>
        <v>0</v>
      </c>
    </row>
    <row r="27" spans="1:3">
      <c r="A27" t="s">
        <v>121</v>
      </c>
      <c r="B27">
        <f>B16+B26</f>
        <v>0</v>
      </c>
    </row>
    <row r="28" spans="1:3">
      <c r="A28" t="s">
        <v>122</v>
      </c>
      <c r="B28">
        <f>'ميزانية مراجعة'!E75</f>
        <v>0</v>
      </c>
    </row>
    <row r="29" spans="1:3">
      <c r="A29" t="s">
        <v>123</v>
      </c>
      <c r="B29">
        <f>'ميزانية مراجعة'!E76</f>
        <v>0</v>
      </c>
      <c r="C29">
        <f>B26-B27</f>
        <v>0</v>
      </c>
    </row>
    <row r="30" spans="1:3">
      <c r="A30" t="s">
        <v>124</v>
      </c>
      <c r="B30">
        <f>'ميزانية مراجعة'!E77</f>
        <v>0</v>
      </c>
      <c r="C30">
        <f>C15-C29</f>
        <v>0</v>
      </c>
    </row>
    <row r="31" spans="1:3">
      <c r="A31" t="str">
        <f>'ميزانية مراجعة'!B73</f>
        <v>مصاريف غير تشغيلية</v>
      </c>
      <c r="B31">
        <f>'ميزانية مراجعة'!E73</f>
        <v>0</v>
      </c>
    </row>
    <row r="32" spans="1:3">
      <c r="A32" t="str">
        <f>'ميزانية مراجعة'!B74</f>
        <v>عمولات بنك</v>
      </c>
      <c r="B32">
        <f>'ميزانية مراجعة'!E79</f>
        <v>0</v>
      </c>
    </row>
    <row r="33" spans="1:2">
      <c r="A33" t="str">
        <f>'ميزانية مراجعة'!B75</f>
        <v>قرطاسية</v>
      </c>
      <c r="B33">
        <f>'ميزانية مراجعة'!E80</f>
        <v>0</v>
      </c>
    </row>
    <row r="34" spans="1:2">
      <c r="A34" t="str">
        <f>'ميزانية مراجعة'!B76</f>
        <v>فروقات عمولة بيع</v>
      </c>
      <c r="B34">
        <f>'ميزانية مراجعة'!E81</f>
        <v>0</v>
      </c>
    </row>
    <row r="35" spans="1:2">
      <c r="A35" t="str">
        <f>'ميزانية مراجعة'!B77</f>
        <v>فوائد مدينة</v>
      </c>
      <c r="B35">
        <f>'ميزانية مراجعة'!E82</f>
        <v>0</v>
      </c>
    </row>
    <row r="36" spans="1:2">
      <c r="A36" t="str">
        <f>'ميزانية مراجعة'!B78</f>
        <v>خسائر بيع أصول ثابت</v>
      </c>
      <c r="B36">
        <f>'ميزانية مراجعة'!E83</f>
        <v>0</v>
      </c>
    </row>
    <row r="37" spans="1:2">
      <c r="A37" t="str">
        <f>'ميزانية مراجعة'!B79</f>
        <v>خسائر تلف أو حريق</v>
      </c>
      <c r="B37">
        <f>'ميزانية مراجعة'!E84</f>
        <v>0</v>
      </c>
    </row>
    <row r="38" spans="1:2">
      <c r="A38" t="str">
        <f>'ميزانية مراجعة'!B80</f>
        <v>مصاريف قرطاسية</v>
      </c>
      <c r="B38">
        <f>'ميزانية مراجعة'!E85</f>
        <v>0</v>
      </c>
    </row>
    <row r="39" spans="1:2">
      <c r="A39" t="str">
        <f>'ميزانية مراجعة'!B81</f>
        <v>عمولات بيع وكلاء</v>
      </c>
      <c r="B39">
        <f>'ميزانية مراجعة'!E86</f>
        <v>0</v>
      </c>
    </row>
    <row r="40" spans="1:2">
      <c r="A40" t="str">
        <f>'ميزانية مراجعة'!B82</f>
        <v>ايجار معرض</v>
      </c>
      <c r="B40">
        <f>'ميزانية مراجعة'!E87</f>
        <v>0</v>
      </c>
    </row>
    <row r="41" spans="1:2">
      <c r="A41" t="str">
        <f>'ميزانية مراجعة'!B83</f>
        <v>ايجار محل</v>
      </c>
      <c r="B41">
        <f>'ميزانية مراجعة'!E88</f>
        <v>0</v>
      </c>
    </row>
    <row r="42" spans="1:2">
      <c r="A42" t="str">
        <f>'ميزانية مراجعة'!B84</f>
        <v>ايجار مخزن</v>
      </c>
      <c r="B42">
        <f>'ميزانية مراجعة'!E89</f>
        <v>0</v>
      </c>
    </row>
    <row r="43" spans="1:2" ht="21">
      <c r="A43" s="41" t="s">
        <v>125</v>
      </c>
      <c r="B43">
        <f>SUM(B19:B42)</f>
        <v>0</v>
      </c>
    </row>
    <row r="44" spans="1:2">
      <c r="A44" t="str">
        <f>'ميزانية مراجعة'!B58</f>
        <v>الايرادات الاخرى</v>
      </c>
      <c r="B44">
        <f>'ميزانية مراجعة'!F58</f>
        <v>0</v>
      </c>
    </row>
    <row r="45" spans="1:2">
      <c r="A45" t="str">
        <f>'ميزانية مراجعة'!B59</f>
        <v xml:space="preserve"> فروقات عمولة مبيعات</v>
      </c>
      <c r="B45">
        <f>'ميزانية مراجعة'!F59</f>
        <v>0</v>
      </c>
    </row>
    <row r="46" spans="1:2">
      <c r="A46" t="str">
        <f>'ميزانية مراجعة'!B60</f>
        <v>فوائد دائنة</v>
      </c>
      <c r="B46">
        <f>'ميزانية مراجعة'!F60</f>
        <v>0</v>
      </c>
    </row>
    <row r="47" spans="1:2">
      <c r="A47" t="str">
        <f>'ميزانية مراجعة'!B61</f>
        <v>ايرادات الاستثمار ( ربح )</v>
      </c>
      <c r="B47">
        <f>'ميزانية مراجعة'!F61</f>
        <v>0</v>
      </c>
    </row>
    <row r="48" spans="1:2">
      <c r="A48" t="str">
        <f>'ميزانية مراجعة'!B62</f>
        <v>ارباح اسعار الاوراق الماليه ( سهم و سندات )</v>
      </c>
      <c r="B48">
        <f>'ميزانية مراجعة'!F62</f>
        <v>0</v>
      </c>
    </row>
    <row r="49" spans="1:3">
      <c r="A49" t="str">
        <f>'ميزانية مراجعة'!B63</f>
        <v>ايرادات الايجار</v>
      </c>
      <c r="B49">
        <f>'ميزانية مراجعة'!F63</f>
        <v>0</v>
      </c>
    </row>
    <row r="50" spans="1:3">
      <c r="A50" t="str">
        <f>'ميزانية مراجعة'!B64</f>
        <v>المصروفات</v>
      </c>
      <c r="B50">
        <f>'ميزانية مراجعة'!F64</f>
        <v>0</v>
      </c>
    </row>
    <row r="51" spans="1:3" ht="23.25">
      <c r="A51" s="20" t="s">
        <v>126</v>
      </c>
      <c r="B51">
        <f>SUM(B34:B50)</f>
        <v>0</v>
      </c>
    </row>
    <row r="52" spans="1:3" ht="15.75">
      <c r="A52" s="42" t="s">
        <v>127</v>
      </c>
      <c r="C52">
        <f>B43+B51</f>
        <v>0</v>
      </c>
    </row>
  </sheetData>
  <mergeCells count="1">
    <mergeCell ref="C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4D31D-DED7-49F6-90E7-5DEDE6F1277B}">
  <dimension ref="A1:F61"/>
  <sheetViews>
    <sheetView rightToLeft="1" workbookViewId="0">
      <selection activeCell="A5" sqref="A5:F5"/>
    </sheetView>
  </sheetViews>
  <sheetFormatPr defaultRowHeight="15"/>
  <cols>
    <col min="1" max="2" width="22.85546875" customWidth="1"/>
    <col min="4" max="4" width="18.140625" customWidth="1"/>
  </cols>
  <sheetData>
    <row r="1" spans="1:6" ht="36">
      <c r="B1" s="37"/>
      <c r="D1" s="37" t="s">
        <v>117</v>
      </c>
    </row>
    <row r="4" spans="1:6">
      <c r="D4">
        <f>SUM(B6:B1700)</f>
        <v>0</v>
      </c>
    </row>
    <row r="5" spans="1:6">
      <c r="A5" s="36" t="s">
        <v>110</v>
      </c>
      <c r="B5" s="36" t="s">
        <v>115</v>
      </c>
      <c r="C5" s="36" t="s">
        <v>116</v>
      </c>
      <c r="D5" s="36" t="s">
        <v>110</v>
      </c>
      <c r="E5" s="36" t="s">
        <v>115</v>
      </c>
      <c r="F5" s="36" t="s">
        <v>116</v>
      </c>
    </row>
    <row r="6" spans="1:6">
      <c r="A6" t="str">
        <f>'ميزانية مراجعة'!B7</f>
        <v>موجودات المتداولة</v>
      </c>
      <c r="B6">
        <f>'ميزانية مراجعة'!E7</f>
        <v>0</v>
      </c>
      <c r="D6" t="str">
        <f>'ميزانية مراجعة'!B36</f>
        <v>مطلوبات المتداولة</v>
      </c>
      <c r="E6">
        <f>'ميزانية مراجعة'!D36</f>
        <v>0</v>
      </c>
    </row>
    <row r="7" spans="1:6">
      <c r="A7" t="str">
        <f>'ميزانية مراجعة'!B8</f>
        <v>صندوق</v>
      </c>
      <c r="B7">
        <f>'ميزانية مراجعة'!E8</f>
        <v>0</v>
      </c>
      <c r="D7" t="str">
        <f>'ميزانية مراجعة'!B37</f>
        <v>الدائنون</v>
      </c>
      <c r="E7">
        <f>'ميزانية مراجعة'!D37</f>
        <v>0</v>
      </c>
    </row>
    <row r="8" spans="1:6">
      <c r="A8" t="str">
        <f>'ميزانية مراجعة'!B9</f>
        <v>البنك</v>
      </c>
      <c r="B8">
        <f>'ميزانية مراجعة'!E9</f>
        <v>0</v>
      </c>
      <c r="D8" t="str">
        <f>'ميزانية مراجعة'!B38</f>
        <v>موردون</v>
      </c>
      <c r="E8">
        <f>'ميزانية مراجعة'!D38</f>
        <v>0</v>
      </c>
    </row>
    <row r="9" spans="1:6">
      <c r="A9" t="str">
        <f>'ميزانية مراجعة'!B10</f>
        <v>المدينون</v>
      </c>
      <c r="B9">
        <f>'ميزانية مراجعة'!E10</f>
        <v>0</v>
      </c>
      <c r="D9" t="str">
        <f>'ميزانية مراجعة'!B39</f>
        <v>اوراق الدفع</v>
      </c>
      <c r="E9">
        <f>'ميزانية مراجعة'!D39</f>
        <v>0</v>
      </c>
    </row>
    <row r="10" spans="1:6">
      <c r="A10" t="str">
        <f>'ميزانية مراجعة'!B11</f>
        <v>زبائن (العملاء)</v>
      </c>
      <c r="B10">
        <f>'ميزانية مراجعة'!E11</f>
        <v>0</v>
      </c>
      <c r="D10" t="str">
        <f>'ميزانية مراجعة'!B40</f>
        <v>قروض قصيرة الاجل</v>
      </c>
      <c r="E10">
        <f>'ميزانية مراجعة'!D40</f>
        <v>0</v>
      </c>
    </row>
    <row r="11" spans="1:6">
      <c r="A11" t="str">
        <f>'ميزانية مراجعة'!B12</f>
        <v>بضاعة اول مدة</v>
      </c>
      <c r="B11">
        <f>'ميزانية مراجعة'!E12</f>
        <v>0</v>
      </c>
      <c r="D11" t="str">
        <f>'ميزانية مراجعة'!B41</f>
        <v>سلف قصيرة الاجل</v>
      </c>
      <c r="E11">
        <f>'ميزانية مراجعة'!D41</f>
        <v>0</v>
      </c>
    </row>
    <row r="12" spans="1:6">
      <c r="A12" t="str">
        <f>'ميزانية مراجعة'!B13</f>
        <v>مخصص ديون مشكوك فيها</v>
      </c>
      <c r="B12">
        <f>'ميزانية مراجعة'!E13</f>
        <v>0</v>
      </c>
      <c r="D12" t="str">
        <f>'ميزانية مراجعة'!B42</f>
        <v>ايرادات مستلمة مقدما</v>
      </c>
      <c r="E12">
        <f>'ميزانية مراجعة'!D42</f>
        <v>0</v>
      </c>
    </row>
    <row r="13" spans="1:6">
      <c r="A13" t="str">
        <f>'ميزانية مراجعة'!B14</f>
        <v xml:space="preserve">مخصص هبوط اسعار الاوراق الماليه </v>
      </c>
      <c r="B13">
        <f>'ميزانية مراجعة'!E14</f>
        <v>0</v>
      </c>
      <c r="D13" t="str">
        <f>'ميزانية مراجعة'!B43</f>
        <v>مصروفات مستحقة</v>
      </c>
      <c r="E13">
        <f>'ميزانية مراجعة'!D43</f>
        <v>0</v>
      </c>
    </row>
    <row r="14" spans="1:6">
      <c r="A14" t="str">
        <f>'ميزانية مراجعة'!B15</f>
        <v>مخصص هبوط اسعار البضاعه</v>
      </c>
      <c r="B14">
        <f>'ميزانية مراجعة'!E15</f>
        <v>0</v>
      </c>
      <c r="D14" t="str">
        <f>'ميزانية مراجعة'!B44</f>
        <v>مطلوبات  غير المتداولة</v>
      </c>
      <c r="E14">
        <f>'ميزانية مراجعة'!D44</f>
        <v>0</v>
      </c>
    </row>
    <row r="15" spans="1:6">
      <c r="A15" t="str">
        <f>'ميزانية مراجعة'!B16</f>
        <v>اوراق القبض</v>
      </c>
      <c r="B15">
        <f>'ميزانية مراجعة'!E16</f>
        <v>0</v>
      </c>
      <c r="D15" t="str">
        <f>'ميزانية مراجعة'!B45</f>
        <v>قروض طويلة الاجل</v>
      </c>
      <c r="E15">
        <f>'ميزانية مراجعة'!D45</f>
        <v>0</v>
      </c>
    </row>
    <row r="16" spans="1:6">
      <c r="A16">
        <f>'ميزانية مراجعة'!B17</f>
        <v>0</v>
      </c>
      <c r="B16">
        <f>'ميزانية مراجعة'!E17</f>
        <v>0</v>
      </c>
      <c r="D16" t="str">
        <f>'ميزانية مراجعة'!B46</f>
        <v>سلف طويلة الاجل</v>
      </c>
      <c r="E16">
        <f>'ميزانية مراجعة'!D46</f>
        <v>0</v>
      </c>
    </row>
    <row r="17" spans="1:5">
      <c r="A17" t="str">
        <f>'ميزانية مراجعة'!B18</f>
        <v>ايرادات مستحقة</v>
      </c>
      <c r="B17">
        <f>'ميزانية مراجعة'!E18</f>
        <v>0</v>
      </c>
      <c r="D17" t="str">
        <f>'ميزانية مراجعة'!B47</f>
        <v>حقوق الملكية</v>
      </c>
      <c r="E17">
        <f>'ميزانية مراجعة'!D47</f>
        <v>0</v>
      </c>
    </row>
    <row r="18" spans="1:5">
      <c r="A18" t="str">
        <f>'ميزانية مراجعة'!B19</f>
        <v>مصروفات مدفوعة مقدما</v>
      </c>
      <c r="B18">
        <f>'ميزانية مراجعة'!E19</f>
        <v>0</v>
      </c>
      <c r="D18" t="str">
        <f>'ميزانية مراجعة'!B48</f>
        <v>راس المال</v>
      </c>
      <c r="E18">
        <f>'ميزانية مراجعة'!D48</f>
        <v>0</v>
      </c>
    </row>
    <row r="19" spans="1:5">
      <c r="A19" t="str">
        <f>'ميزانية مراجعة'!B20</f>
        <v>استثمار قصيرة اجل</v>
      </c>
      <c r="B19">
        <f>'ميزانية مراجعة'!E20</f>
        <v>0</v>
      </c>
      <c r="D19" t="str">
        <f>'ميزانية مراجعة'!B49</f>
        <v>المسحوبات الشخصية</v>
      </c>
      <c r="E19">
        <f>'ميزانية مراجعة'!D49</f>
        <v>0</v>
      </c>
    </row>
    <row r="20" spans="1:5">
      <c r="A20" t="str">
        <f>'ميزانية مراجعة'!B21</f>
        <v>موجودات الثابتة</v>
      </c>
      <c r="B20">
        <f>'ميزانية مراجعة'!E21</f>
        <v>0</v>
      </c>
      <c r="D20">
        <f>'ميزانية مراجعة'!B50</f>
        <v>0</v>
      </c>
      <c r="E20">
        <f>'ميزانية مراجعة'!D50</f>
        <v>0</v>
      </c>
    </row>
    <row r="21" spans="1:5">
      <c r="A21" t="str">
        <f>'ميزانية مراجعة'!B22</f>
        <v>الاراضي</v>
      </c>
      <c r="B21">
        <f>'ميزانية مراجعة'!E22</f>
        <v>0</v>
      </c>
      <c r="D21" t="str">
        <f>'ميزانية مراجعة'!B51</f>
        <v>الاحتياطيات</v>
      </c>
      <c r="E21">
        <f>'ميزانية مراجعة'!D51</f>
        <v>0</v>
      </c>
    </row>
    <row r="22" spans="1:5">
      <c r="A22" t="str">
        <f>'ميزانية مراجعة'!B23</f>
        <v>مخصص اندثار متراكم اراضى</v>
      </c>
      <c r="B22">
        <f>'ميزانية مراجعة'!E23</f>
        <v>0</v>
      </c>
      <c r="D22" t="str">
        <f>'ميزانية مراجعة'!B52</f>
        <v>الارباح المحتجزة</v>
      </c>
      <c r="E22">
        <f>'ميزانية مراجعة'!D52</f>
        <v>0</v>
      </c>
    </row>
    <row r="23" spans="1:5">
      <c r="A23" t="str">
        <f>'ميزانية مراجعة'!B24</f>
        <v>المباني</v>
      </c>
      <c r="B23">
        <f>'ميزانية مراجعة'!E24</f>
        <v>0</v>
      </c>
      <c r="D23" t="str">
        <f>'ميزانية مراجعة'!B53</f>
        <v>الايرادات</v>
      </c>
      <c r="E23">
        <f>'ميزانية مراجعة'!D53</f>
        <v>0</v>
      </c>
    </row>
    <row r="24" spans="1:5">
      <c r="A24" t="str">
        <f>'ميزانية مراجعة'!B25</f>
        <v>مخصص اندثار متراكم مباني</v>
      </c>
      <c r="B24">
        <f>'ميزانية مراجعة'!E25</f>
        <v>0</v>
      </c>
      <c r="D24" t="str">
        <f>'ميزانية مراجعة'!B54</f>
        <v>المبيعات</v>
      </c>
      <c r="E24">
        <f>'ميزانية مراجعة'!D54</f>
        <v>0</v>
      </c>
    </row>
    <row r="25" spans="1:5">
      <c r="A25" t="str">
        <f>'ميزانية مراجعة'!B26</f>
        <v>السيارات</v>
      </c>
      <c r="B25">
        <f>'ميزانية مراجعة'!E26</f>
        <v>0</v>
      </c>
      <c r="D25" t="str">
        <f>'ميزانية مراجعة'!B55</f>
        <v>مردودات المبيعات</v>
      </c>
      <c r="E25">
        <f>'ميزانية مراجعة'!D55</f>
        <v>0</v>
      </c>
    </row>
    <row r="26" spans="1:5">
      <c r="A26" t="str">
        <f>'ميزانية مراجعة'!B27</f>
        <v>مخصص اندثار متراكم سيارات</v>
      </c>
      <c r="B26">
        <f>'ميزانية مراجعة'!E27</f>
        <v>0</v>
      </c>
      <c r="D26" t="str">
        <f>'ميزانية مراجعة'!B56</f>
        <v>مسموحات مبيعات</v>
      </c>
    </row>
    <row r="27" spans="1:5">
      <c r="A27" t="str">
        <f>'ميزانية مراجعة'!B28</f>
        <v>الاثاث</v>
      </c>
      <c r="B27">
        <f>'ميزانية مراجعة'!E28</f>
        <v>0</v>
      </c>
      <c r="D27" t="str">
        <f>'ميزانية مراجعة'!B57</f>
        <v>الخصم مسموح به</v>
      </c>
    </row>
    <row r="28" spans="1:5">
      <c r="A28" t="str">
        <f>'ميزانية مراجعة'!B29</f>
        <v>مخصص اندثار متراكم اثاث</v>
      </c>
      <c r="B28">
        <f>'ميزانية مراجعة'!E29</f>
        <v>0</v>
      </c>
      <c r="D28" t="str">
        <f>'ميزانية مراجعة'!B58</f>
        <v>الايرادات الاخرى</v>
      </c>
    </row>
    <row r="29" spans="1:5">
      <c r="A29" t="str">
        <f>'ميزانية مراجعة'!B30</f>
        <v>الات واجهزة</v>
      </c>
      <c r="B29">
        <f>'ميزانية مراجعة'!E30</f>
        <v>0</v>
      </c>
      <c r="D29" t="str">
        <f>'ميزانية مراجعة'!B59</f>
        <v xml:space="preserve"> فروقات عمولة مبيعات</v>
      </c>
    </row>
    <row r="30" spans="1:5">
      <c r="A30" t="str">
        <f>'ميزانية مراجعة'!B31</f>
        <v>مخصص اندثار متراكم</v>
      </c>
      <c r="B30">
        <f>'ميزانية مراجعة'!E31</f>
        <v>0</v>
      </c>
      <c r="D30" t="str">
        <f>'ميزانية مراجعة'!B60</f>
        <v>فوائد دائنة</v>
      </c>
    </row>
    <row r="31" spans="1:5">
      <c r="A31" t="str">
        <f>'ميزانية مراجعة'!B32</f>
        <v>موجودات غير الملموسة</v>
      </c>
      <c r="B31">
        <f>'ميزانية مراجعة'!E32</f>
        <v>0</v>
      </c>
      <c r="D31" t="str">
        <f>'ميزانية مراجعة'!B61</f>
        <v>ايرادات الاستثمار ( ربح )</v>
      </c>
    </row>
    <row r="32" spans="1:5">
      <c r="A32" t="str">
        <f>'ميزانية مراجعة'!B33</f>
        <v>العلامة التجارية</v>
      </c>
      <c r="B32">
        <f>'ميزانية مراجعة'!E33</f>
        <v>0</v>
      </c>
      <c r="D32" t="str">
        <f>'ميزانية مراجعة'!B62</f>
        <v>ارباح اسعار الاوراق الماليه ( سهم و سندات )</v>
      </c>
    </row>
    <row r="33" spans="1:4">
      <c r="A33" t="str">
        <f>'ميزانية مراجعة'!B34</f>
        <v>براءة الاختراع</v>
      </c>
      <c r="B33">
        <f>'ميزانية مراجعة'!E34</f>
        <v>0</v>
      </c>
      <c r="D33" t="str">
        <f>'ميزانية مراجعة'!B63</f>
        <v>ايرادات الايجار</v>
      </c>
    </row>
    <row r="34" spans="1:4">
      <c r="A34" t="str">
        <f>'ميزانية مراجعة'!B35</f>
        <v>الشهرة المحل</v>
      </c>
      <c r="B34">
        <f>'ميزانية مراجعة'!E35</f>
        <v>0</v>
      </c>
      <c r="D34" t="str">
        <f>'ميزانية مراجعة'!B64</f>
        <v>المصروفات</v>
      </c>
    </row>
    <row r="35" spans="1:4">
      <c r="A35" t="str">
        <f>'ميزانية مراجعة'!B36</f>
        <v>مطلوبات المتداولة</v>
      </c>
      <c r="B35">
        <f>'ميزانية مراجعة'!E36</f>
        <v>0</v>
      </c>
      <c r="D35" t="str">
        <f>'ميزانية مراجعة'!B65</f>
        <v>المشتريات</v>
      </c>
    </row>
    <row r="36" spans="1:4">
      <c r="A36" t="str">
        <f>'ميزانية مراجعة'!B37</f>
        <v>الدائنون</v>
      </c>
      <c r="B36">
        <f>'ميزانية مراجعة'!E37</f>
        <v>0</v>
      </c>
      <c r="D36" t="str">
        <f>'ميزانية مراجعة'!B66</f>
        <v>مسموحات مشتريات</v>
      </c>
    </row>
    <row r="37" spans="1:4">
      <c r="A37" t="str">
        <f>'ميزانية مراجعة'!B38</f>
        <v>موردون</v>
      </c>
      <c r="B37">
        <f>'ميزانية مراجعة'!E38</f>
        <v>0</v>
      </c>
      <c r="D37" t="str">
        <f>'ميزانية مراجعة'!B67</f>
        <v>مردودات المشتريات</v>
      </c>
    </row>
    <row r="38" spans="1:4">
      <c r="A38" t="str">
        <f>'ميزانية مراجعة'!B39</f>
        <v>اوراق الدفع</v>
      </c>
      <c r="B38">
        <f>'ميزانية مراجعة'!E39</f>
        <v>0</v>
      </c>
      <c r="D38" t="str">
        <f>'ميزانية مراجعة'!B68</f>
        <v>الخصم مكتسب</v>
      </c>
    </row>
    <row r="39" spans="1:4">
      <c r="A39" t="str">
        <f>'ميزانية مراجعة'!B40</f>
        <v>قروض قصيرة الاجل</v>
      </c>
      <c r="B39">
        <f>'ميزانية مراجعة'!E40</f>
        <v>0</v>
      </c>
      <c r="D39" t="str">
        <f>'ميزانية مراجعة'!B69</f>
        <v xml:space="preserve">رسوم كمركية شراء </v>
      </c>
    </row>
    <row r="40" spans="1:4">
      <c r="A40" t="str">
        <f>'ميزانية مراجعة'!B41</f>
        <v>سلف قصيرة الاجل</v>
      </c>
      <c r="B40">
        <f>'ميزانية مراجعة'!E41</f>
        <v>0</v>
      </c>
      <c r="D40" t="str">
        <f>'ميزانية مراجعة'!B70</f>
        <v xml:space="preserve">مصاريف اجور عمال شراء </v>
      </c>
    </row>
    <row r="41" spans="1:4">
      <c r="A41" t="str">
        <f>'ميزانية مراجعة'!B42</f>
        <v>ايرادات مستلمة مقدما</v>
      </c>
      <c r="B41">
        <f>'ميزانية مراجعة'!E42</f>
        <v>0</v>
      </c>
      <c r="D41" t="str">
        <f>'ميزانية مراجعة'!B71</f>
        <v>عمولة وكلاء شراء</v>
      </c>
    </row>
    <row r="42" spans="1:4">
      <c r="A42" t="str">
        <f>'ميزانية مراجعة'!B43</f>
        <v>مصروفات مستحقة</v>
      </c>
      <c r="B42">
        <f>'ميزانية مراجعة'!E43</f>
        <v>0</v>
      </c>
      <c r="D42" t="str">
        <f>'ميزانية مراجعة'!B72</f>
        <v>مصاريف نقل شراء</v>
      </c>
    </row>
    <row r="43" spans="1:4">
      <c r="A43" t="str">
        <f>'ميزانية مراجعة'!B44</f>
        <v>مطلوبات  غير المتداولة</v>
      </c>
      <c r="B43">
        <f>'ميزانية مراجعة'!E44</f>
        <v>0</v>
      </c>
      <c r="D43" t="str">
        <f>'ميزانية مراجعة'!B73</f>
        <v>مصاريف غير تشغيلية</v>
      </c>
    </row>
    <row r="44" spans="1:4">
      <c r="A44" t="str">
        <f>'ميزانية مراجعة'!B45</f>
        <v>قروض طويلة الاجل</v>
      </c>
      <c r="B44">
        <f>'ميزانية مراجعة'!E45</f>
        <v>0</v>
      </c>
      <c r="D44" t="str">
        <f>'ميزانية مراجعة'!B74</f>
        <v>عمولات بنك</v>
      </c>
    </row>
    <row r="45" spans="1:4">
      <c r="A45" t="str">
        <f>'ميزانية مراجعة'!B46</f>
        <v>سلف طويلة الاجل</v>
      </c>
      <c r="B45">
        <f>'ميزانية مراجعة'!E46</f>
        <v>0</v>
      </c>
      <c r="D45" t="str">
        <f>'ميزانية مراجعة'!B75</f>
        <v>قرطاسية</v>
      </c>
    </row>
    <row r="46" spans="1:4">
      <c r="A46" t="str">
        <f>'ميزانية مراجعة'!B47</f>
        <v>حقوق الملكية</v>
      </c>
      <c r="B46">
        <f>'ميزانية مراجعة'!E47</f>
        <v>0</v>
      </c>
      <c r="D46" t="str">
        <f>'ميزانية مراجعة'!B76</f>
        <v>فروقات عمولة بيع</v>
      </c>
    </row>
    <row r="47" spans="1:4">
      <c r="A47" t="str">
        <f>'ميزانية مراجعة'!B48</f>
        <v>راس المال</v>
      </c>
      <c r="B47">
        <f>'ميزانية مراجعة'!E48</f>
        <v>0</v>
      </c>
      <c r="D47" t="str">
        <f>'ميزانية مراجعة'!B77</f>
        <v>فوائد مدينة</v>
      </c>
    </row>
    <row r="48" spans="1:4">
      <c r="A48" t="str">
        <f>'ميزانية مراجعة'!B49</f>
        <v>المسحوبات الشخصية</v>
      </c>
      <c r="B48">
        <f>'ميزانية مراجعة'!E49</f>
        <v>0</v>
      </c>
      <c r="D48" t="str">
        <f>'ميزانية مراجعة'!B78</f>
        <v>خسائر بيع أصول ثابت</v>
      </c>
    </row>
    <row r="49" spans="1:4">
      <c r="A49">
        <f>'ميزانية مراجعة'!B50</f>
        <v>0</v>
      </c>
      <c r="D49" t="str">
        <f>'ميزانية مراجعة'!B79</f>
        <v>خسائر تلف أو حريق</v>
      </c>
    </row>
    <row r="50" spans="1:4">
      <c r="A50" t="str">
        <f>'ميزانية مراجعة'!B51</f>
        <v>الاحتياطيات</v>
      </c>
    </row>
    <row r="51" spans="1:4">
      <c r="A51" t="str">
        <f>'ميزانية مراجعة'!B52</f>
        <v>الارباح المحتجزة</v>
      </c>
    </row>
    <row r="52" spans="1:4">
      <c r="A52" t="str">
        <f>'ميزانية مراجعة'!B53</f>
        <v>الايرادات</v>
      </c>
    </row>
    <row r="53" spans="1:4">
      <c r="A53" t="str">
        <f>'ميزانية مراجعة'!B54</f>
        <v>المبيعات</v>
      </c>
    </row>
    <row r="54" spans="1:4">
      <c r="A54" t="str">
        <f>'ميزانية مراجعة'!B55</f>
        <v>مردودات المبيعات</v>
      </c>
    </row>
    <row r="55" spans="1:4">
      <c r="A55" t="str">
        <f>'ميزانية مراجعة'!B56</f>
        <v>مسموحات مبيعات</v>
      </c>
    </row>
    <row r="56" spans="1:4">
      <c r="A56" t="str">
        <f>'ميزانية مراجعة'!B57</f>
        <v>الخصم مسموح به</v>
      </c>
    </row>
    <row r="57" spans="1:4">
      <c r="A57" t="str">
        <f>'ميزانية مراجعة'!B58</f>
        <v>الايرادات الاخرى</v>
      </c>
    </row>
    <row r="58" spans="1:4">
      <c r="A58" t="str">
        <f>'ميزانية مراجعة'!B59</f>
        <v xml:space="preserve"> فروقات عمولة مبيعات</v>
      </c>
    </row>
    <row r="59" spans="1:4">
      <c r="A59" t="str">
        <f>'ميزانية مراجعة'!B60</f>
        <v>فوائد دائنة</v>
      </c>
    </row>
    <row r="60" spans="1:4">
      <c r="A60" t="str">
        <f>'ميزانية مراجعة'!B61</f>
        <v>ايرادات الاستثمار ( ربح )</v>
      </c>
    </row>
    <row r="61" spans="1:4">
      <c r="A61" t="str">
        <f>'ميزانية مراجعة'!B62</f>
        <v>ارباح اسعار الاوراق الماليه ( سهم و سندات 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4:D97"/>
  <sheetViews>
    <sheetView rightToLeft="1" zoomScale="150" zoomScaleNormal="150" workbookViewId="0"/>
  </sheetViews>
  <sheetFormatPr defaultRowHeight="15"/>
  <cols>
    <col min="1" max="1" width="9.140625" style="11"/>
    <col min="2" max="2" width="37.85546875" customWidth="1"/>
    <col min="3" max="3" width="22.42578125" customWidth="1"/>
    <col min="4" max="4" width="25" customWidth="1"/>
  </cols>
  <sheetData>
    <row r="4" spans="1:4" ht="26.25">
      <c r="A4" s="13" t="s">
        <v>0</v>
      </c>
      <c r="B4" s="14" t="s">
        <v>1</v>
      </c>
      <c r="C4" s="3"/>
      <c r="D4" s="3"/>
    </row>
    <row r="5" spans="1:4" ht="25.5">
      <c r="A5" s="13">
        <v>1</v>
      </c>
      <c r="B5" s="4" t="s">
        <v>2</v>
      </c>
      <c r="C5" s="3"/>
      <c r="D5" s="3"/>
    </row>
    <row r="6" spans="1:4" ht="18">
      <c r="A6" s="13">
        <v>11</v>
      </c>
      <c r="B6" s="5" t="s">
        <v>3</v>
      </c>
      <c r="C6" s="3" t="s">
        <v>4</v>
      </c>
      <c r="D6" s="3" t="s">
        <v>5</v>
      </c>
    </row>
    <row r="7" spans="1:4" ht="18">
      <c r="A7" s="13">
        <v>12</v>
      </c>
      <c r="B7" s="5" t="s">
        <v>6</v>
      </c>
      <c r="C7" s="3" t="s">
        <v>4</v>
      </c>
      <c r="D7" s="3" t="s">
        <v>5</v>
      </c>
    </row>
    <row r="8" spans="1:4" ht="18">
      <c r="A8" s="13">
        <v>13</v>
      </c>
      <c r="B8" s="5" t="s">
        <v>7</v>
      </c>
      <c r="C8" s="3" t="s">
        <v>4</v>
      </c>
      <c r="D8" s="3" t="s">
        <v>5</v>
      </c>
    </row>
    <row r="9" spans="1:4" ht="18">
      <c r="A9" s="13">
        <v>14</v>
      </c>
      <c r="B9" s="6" t="s">
        <v>8</v>
      </c>
      <c r="C9" s="3" t="s">
        <v>4</v>
      </c>
      <c r="D9" s="3" t="s">
        <v>5</v>
      </c>
    </row>
    <row r="10" spans="1:4" ht="18">
      <c r="A10" s="13">
        <v>15</v>
      </c>
      <c r="B10" s="6" t="s">
        <v>9</v>
      </c>
      <c r="C10" s="3" t="s">
        <v>10</v>
      </c>
      <c r="D10" s="3" t="s">
        <v>11</v>
      </c>
    </row>
    <row r="11" spans="1:4" ht="18">
      <c r="A11" s="13">
        <v>16</v>
      </c>
      <c r="B11" s="6" t="s">
        <v>12</v>
      </c>
      <c r="C11" s="3" t="s">
        <v>13</v>
      </c>
      <c r="D11" s="3" t="s">
        <v>5</v>
      </c>
    </row>
    <row r="12" spans="1:4" ht="18">
      <c r="A12" s="2">
        <v>17</v>
      </c>
      <c r="B12" s="12" t="s">
        <v>14</v>
      </c>
      <c r="C12" s="3" t="s">
        <v>13</v>
      </c>
      <c r="D12" s="3" t="s">
        <v>5</v>
      </c>
    </row>
    <row r="13" spans="1:4" ht="18">
      <c r="A13" s="2">
        <v>18</v>
      </c>
      <c r="B13" s="6" t="s">
        <v>15</v>
      </c>
      <c r="C13" s="3" t="s">
        <v>13</v>
      </c>
      <c r="D13" s="3" t="s">
        <v>5</v>
      </c>
    </row>
    <row r="14" spans="1:4" ht="18">
      <c r="A14" s="2">
        <v>19</v>
      </c>
      <c r="B14" s="5" t="s">
        <v>16</v>
      </c>
      <c r="C14" s="3" t="s">
        <v>13</v>
      </c>
      <c r="D14" s="3" t="s">
        <v>5</v>
      </c>
    </row>
    <row r="15" spans="1:4" ht="18">
      <c r="A15" s="2">
        <v>20</v>
      </c>
      <c r="B15" s="5"/>
      <c r="C15" s="3" t="s">
        <v>17</v>
      </c>
      <c r="D15" s="3" t="s">
        <v>18</v>
      </c>
    </row>
    <row r="16" spans="1:4" ht="18">
      <c r="A16" s="2">
        <v>21</v>
      </c>
      <c r="B16" s="5" t="s">
        <v>19</v>
      </c>
      <c r="C16" s="3" t="s">
        <v>4</v>
      </c>
      <c r="D16" s="3" t="s">
        <v>18</v>
      </c>
    </row>
    <row r="17" spans="1:4" ht="18">
      <c r="A17" s="2">
        <v>22</v>
      </c>
      <c r="B17" s="5" t="s">
        <v>20</v>
      </c>
      <c r="C17" s="3" t="s">
        <v>4</v>
      </c>
      <c r="D17" s="3" t="s">
        <v>18</v>
      </c>
    </row>
    <row r="18" spans="1:4" ht="18">
      <c r="A18" s="2">
        <v>23</v>
      </c>
      <c r="B18" s="5" t="s">
        <v>21</v>
      </c>
      <c r="C18" s="7" t="s">
        <v>13</v>
      </c>
      <c r="D18" s="3" t="s">
        <v>18</v>
      </c>
    </row>
    <row r="19" spans="1:4" ht="25.5">
      <c r="A19" s="2">
        <v>200</v>
      </c>
      <c r="B19" s="4" t="s">
        <v>22</v>
      </c>
      <c r="C19" s="3"/>
      <c r="D19" s="3"/>
    </row>
    <row r="20" spans="1:4" ht="18">
      <c r="A20" s="2">
        <v>201</v>
      </c>
      <c r="B20" s="5" t="s">
        <v>23</v>
      </c>
      <c r="C20" s="3" t="s">
        <v>4</v>
      </c>
      <c r="D20" s="3" t="s">
        <v>24</v>
      </c>
    </row>
    <row r="21" spans="1:4" ht="18">
      <c r="A21" s="2">
        <v>202</v>
      </c>
      <c r="B21" s="5" t="s">
        <v>25</v>
      </c>
      <c r="C21" s="3" t="s">
        <v>4</v>
      </c>
      <c r="D21" s="3" t="s">
        <v>24</v>
      </c>
    </row>
    <row r="22" spans="1:4" ht="18">
      <c r="A22" s="2">
        <v>203</v>
      </c>
      <c r="B22" s="5" t="s">
        <v>26</v>
      </c>
      <c r="C22" s="3" t="s">
        <v>4</v>
      </c>
      <c r="D22" s="3" t="s">
        <v>24</v>
      </c>
    </row>
    <row r="23" spans="1:4" ht="18">
      <c r="A23" s="2">
        <v>204</v>
      </c>
      <c r="B23" s="5" t="s">
        <v>27</v>
      </c>
      <c r="C23" s="3" t="s">
        <v>4</v>
      </c>
      <c r="D23" s="3" t="s">
        <v>24</v>
      </c>
    </row>
    <row r="24" spans="1:4" ht="18">
      <c r="A24" s="2">
        <v>205</v>
      </c>
      <c r="B24" s="5" t="s">
        <v>28</v>
      </c>
      <c r="C24" s="3" t="s">
        <v>4</v>
      </c>
      <c r="D24" s="3" t="s">
        <v>24</v>
      </c>
    </row>
    <row r="25" spans="1:4" ht="18">
      <c r="A25" s="2">
        <v>206</v>
      </c>
      <c r="B25" s="5" t="s">
        <v>29</v>
      </c>
      <c r="C25" s="3" t="s">
        <v>4</v>
      </c>
      <c r="D25" s="3" t="s">
        <v>24</v>
      </c>
    </row>
    <row r="26" spans="1:4" ht="18">
      <c r="A26" s="2">
        <v>207</v>
      </c>
      <c r="B26" s="5" t="s">
        <v>30</v>
      </c>
      <c r="C26" s="3" t="s">
        <v>4</v>
      </c>
      <c r="D26" s="3" t="s">
        <v>24</v>
      </c>
    </row>
    <row r="27" spans="1:4" ht="18">
      <c r="A27" s="2">
        <v>208</v>
      </c>
      <c r="B27" s="5" t="s">
        <v>31</v>
      </c>
      <c r="C27" s="3" t="s">
        <v>4</v>
      </c>
      <c r="D27" s="3" t="s">
        <v>24</v>
      </c>
    </row>
    <row r="28" spans="1:4" ht="18">
      <c r="A28" s="2">
        <v>209</v>
      </c>
      <c r="B28" s="5" t="s">
        <v>32</v>
      </c>
      <c r="C28" s="3" t="s">
        <v>4</v>
      </c>
      <c r="D28" s="3" t="s">
        <v>24</v>
      </c>
    </row>
    <row r="29" spans="1:4" ht="18">
      <c r="A29" s="2">
        <v>210</v>
      </c>
      <c r="B29" s="5" t="s">
        <v>33</v>
      </c>
      <c r="C29" s="3" t="s">
        <v>4</v>
      </c>
      <c r="D29" s="3" t="s">
        <v>24</v>
      </c>
    </row>
    <row r="30" spans="1:4" ht="25.5">
      <c r="A30" s="2">
        <v>300</v>
      </c>
      <c r="B30" s="4" t="s">
        <v>34</v>
      </c>
      <c r="C30" s="3"/>
      <c r="D30" s="3"/>
    </row>
    <row r="31" spans="1:4" ht="18">
      <c r="A31" s="2">
        <v>301</v>
      </c>
      <c r="B31" s="5" t="s">
        <v>35</v>
      </c>
      <c r="C31" s="3" t="s">
        <v>13</v>
      </c>
      <c r="D31" s="3" t="s">
        <v>36</v>
      </c>
    </row>
    <row r="32" spans="1:4" ht="18">
      <c r="A32" s="2">
        <v>302</v>
      </c>
      <c r="B32" s="5" t="s">
        <v>37</v>
      </c>
      <c r="C32" s="3" t="s">
        <v>13</v>
      </c>
      <c r="D32" s="3" t="s">
        <v>36</v>
      </c>
    </row>
    <row r="33" spans="1:4" ht="18">
      <c r="A33" s="2">
        <v>303</v>
      </c>
      <c r="B33" s="5" t="s">
        <v>38</v>
      </c>
      <c r="C33" s="3" t="s">
        <v>13</v>
      </c>
      <c r="D33" s="3" t="s">
        <v>36</v>
      </c>
    </row>
    <row r="34" spans="1:4" ht="25.5">
      <c r="A34" s="2">
        <v>400</v>
      </c>
      <c r="B34" s="4" t="s">
        <v>39</v>
      </c>
      <c r="C34" s="3"/>
      <c r="D34" s="3"/>
    </row>
    <row r="35" spans="1:4" ht="18">
      <c r="A35" s="2">
        <v>401</v>
      </c>
      <c r="B35" s="5" t="s">
        <v>40</v>
      </c>
      <c r="C35" s="3" t="s">
        <v>13</v>
      </c>
      <c r="D35" s="3" t="s">
        <v>41</v>
      </c>
    </row>
    <row r="36" spans="1:4" ht="18">
      <c r="A36" s="2">
        <v>402</v>
      </c>
      <c r="B36" s="6" t="s">
        <v>42</v>
      </c>
      <c r="C36" s="3" t="s">
        <v>13</v>
      </c>
      <c r="D36" s="3" t="s">
        <v>41</v>
      </c>
    </row>
    <row r="37" spans="1:4" ht="18">
      <c r="A37" s="2">
        <v>403</v>
      </c>
      <c r="B37" s="5" t="s">
        <v>43</v>
      </c>
      <c r="C37" s="3" t="s">
        <v>13</v>
      </c>
      <c r="D37" s="3" t="s">
        <v>41</v>
      </c>
    </row>
    <row r="38" spans="1:4" ht="18">
      <c r="A38" s="2">
        <v>404</v>
      </c>
      <c r="B38" s="5" t="s">
        <v>44</v>
      </c>
      <c r="C38" s="3" t="s">
        <v>13</v>
      </c>
      <c r="D38" s="3" t="s">
        <v>41</v>
      </c>
    </row>
    <row r="39" spans="1:4" ht="18">
      <c r="A39" s="2">
        <v>405</v>
      </c>
      <c r="B39" s="5" t="s">
        <v>45</v>
      </c>
      <c r="C39" s="3" t="s">
        <v>13</v>
      </c>
      <c r="D39" s="3" t="s">
        <v>41</v>
      </c>
    </row>
    <row r="40" spans="1:4" ht="18">
      <c r="A40" s="2">
        <v>406</v>
      </c>
      <c r="B40" s="5" t="s">
        <v>46</v>
      </c>
      <c r="C40" s="3" t="s">
        <v>13</v>
      </c>
      <c r="D40" s="3" t="s">
        <v>41</v>
      </c>
    </row>
    <row r="41" spans="1:4" ht="18">
      <c r="A41" s="2">
        <v>407</v>
      </c>
      <c r="B41" s="5" t="s">
        <v>47</v>
      </c>
      <c r="C41" s="3" t="s">
        <v>13</v>
      </c>
      <c r="D41" s="3" t="s">
        <v>41</v>
      </c>
    </row>
    <row r="42" spans="1:4" ht="23.25">
      <c r="A42" s="2">
        <v>500</v>
      </c>
      <c r="B42" s="8" t="s">
        <v>48</v>
      </c>
      <c r="C42" s="3"/>
      <c r="D42" s="3"/>
    </row>
    <row r="43" spans="1:4" ht="18">
      <c r="A43" s="2">
        <v>501</v>
      </c>
      <c r="B43" s="5" t="s">
        <v>49</v>
      </c>
      <c r="C43" s="3" t="s">
        <v>13</v>
      </c>
      <c r="D43" s="3" t="s">
        <v>50</v>
      </c>
    </row>
    <row r="44" spans="1:4" ht="18">
      <c r="A44" s="2">
        <v>502</v>
      </c>
      <c r="B44" s="5" t="s">
        <v>51</v>
      </c>
      <c r="C44" s="3" t="s">
        <v>13</v>
      </c>
      <c r="D44" s="3" t="s">
        <v>50</v>
      </c>
    </row>
    <row r="45" spans="1:4" ht="25.5">
      <c r="A45" s="2">
        <v>600</v>
      </c>
      <c r="B45" s="4" t="s">
        <v>52</v>
      </c>
      <c r="C45" s="3"/>
      <c r="D45" s="3"/>
    </row>
    <row r="46" spans="1:4" ht="18">
      <c r="A46" s="2">
        <v>601</v>
      </c>
      <c r="B46" s="5" t="s">
        <v>53</v>
      </c>
      <c r="C46" s="3" t="s">
        <v>13</v>
      </c>
      <c r="D46" s="3" t="s">
        <v>52</v>
      </c>
    </row>
    <row r="47" spans="1:4" ht="18">
      <c r="A47" s="2">
        <v>602</v>
      </c>
      <c r="B47" s="5" t="s">
        <v>54</v>
      </c>
      <c r="C47" s="3" t="s">
        <v>13</v>
      </c>
      <c r="D47" s="3" t="s">
        <v>52</v>
      </c>
    </row>
    <row r="48" spans="1:4" ht="18">
      <c r="A48" s="2">
        <v>603</v>
      </c>
      <c r="B48" s="5"/>
      <c r="C48" s="3" t="s">
        <v>55</v>
      </c>
      <c r="D48" s="3" t="s">
        <v>52</v>
      </c>
    </row>
    <row r="49" spans="1:4" ht="18">
      <c r="A49" s="2">
        <v>604</v>
      </c>
      <c r="B49" s="5" t="s">
        <v>56</v>
      </c>
      <c r="C49" s="3" t="s">
        <v>13</v>
      </c>
      <c r="D49" s="3" t="s">
        <v>52</v>
      </c>
    </row>
    <row r="50" spans="1:4" ht="18">
      <c r="A50" s="2">
        <v>605</v>
      </c>
      <c r="B50" s="5" t="s">
        <v>57</v>
      </c>
      <c r="C50" s="3" t="s">
        <v>13</v>
      </c>
      <c r="D50" s="3" t="s">
        <v>52</v>
      </c>
    </row>
    <row r="51" spans="1:4" ht="25.5">
      <c r="A51" s="2">
        <v>700</v>
      </c>
      <c r="B51" s="4" t="s">
        <v>58</v>
      </c>
      <c r="C51" s="3"/>
      <c r="D51" s="3"/>
    </row>
    <row r="52" spans="1:4" ht="18">
      <c r="A52" s="2">
        <v>701</v>
      </c>
      <c r="B52" s="5" t="s">
        <v>59</v>
      </c>
      <c r="C52" s="3" t="s">
        <v>10</v>
      </c>
      <c r="D52" s="3"/>
    </row>
    <row r="53" spans="1:4" ht="18">
      <c r="A53" s="2">
        <v>702</v>
      </c>
      <c r="B53" s="5" t="s">
        <v>60</v>
      </c>
      <c r="C53" s="3" t="s">
        <v>10</v>
      </c>
      <c r="D53" s="3"/>
    </row>
    <row r="54" spans="1:4" ht="18">
      <c r="A54" s="2">
        <v>703</v>
      </c>
      <c r="B54" s="5" t="s">
        <v>61</v>
      </c>
      <c r="C54" s="3" t="s">
        <v>10</v>
      </c>
      <c r="D54" s="3"/>
    </row>
    <row r="55" spans="1:4" ht="18">
      <c r="A55" s="2">
        <v>704</v>
      </c>
      <c r="B55" s="5" t="s">
        <v>62</v>
      </c>
      <c r="C55" s="3" t="s">
        <v>10</v>
      </c>
      <c r="D55" s="3"/>
    </row>
    <row r="56" spans="1:4" ht="18">
      <c r="A56" s="2">
        <v>705</v>
      </c>
      <c r="B56" s="5" t="s">
        <v>63</v>
      </c>
      <c r="C56" s="3" t="s">
        <v>10</v>
      </c>
      <c r="D56" s="3"/>
    </row>
    <row r="57" spans="1:4" ht="18">
      <c r="A57" s="2">
        <v>706</v>
      </c>
      <c r="B57" s="5" t="s">
        <v>64</v>
      </c>
      <c r="C57" s="3" t="s">
        <v>10</v>
      </c>
      <c r="D57" s="3"/>
    </row>
    <row r="58" spans="1:4" ht="18">
      <c r="A58" s="2">
        <v>707</v>
      </c>
      <c r="B58" s="6" t="s">
        <v>65</v>
      </c>
      <c r="C58" s="3" t="s">
        <v>10</v>
      </c>
      <c r="D58" s="3"/>
    </row>
    <row r="59" spans="1:4" ht="18">
      <c r="A59" s="2">
        <v>708</v>
      </c>
      <c r="B59" s="5" t="s">
        <v>66</v>
      </c>
      <c r="C59" s="3" t="s">
        <v>10</v>
      </c>
      <c r="D59" s="3"/>
    </row>
    <row r="60" spans="1:4" ht="18">
      <c r="A60" s="2">
        <v>709</v>
      </c>
      <c r="B60" s="5" t="s">
        <v>67</v>
      </c>
      <c r="C60" s="3" t="s">
        <v>10</v>
      </c>
      <c r="D60" s="3"/>
    </row>
    <row r="61" spans="1:4" ht="18">
      <c r="A61" s="2">
        <v>710</v>
      </c>
      <c r="B61" s="5" t="s">
        <v>68</v>
      </c>
      <c r="C61" s="3" t="s">
        <v>10</v>
      </c>
      <c r="D61" s="3"/>
    </row>
    <row r="62" spans="1:4" ht="25.5">
      <c r="A62" s="2">
        <v>800</v>
      </c>
      <c r="B62" s="4" t="s">
        <v>69</v>
      </c>
      <c r="C62" s="3"/>
      <c r="D62" s="3"/>
    </row>
    <row r="63" spans="1:4" ht="18">
      <c r="A63" s="2">
        <v>801</v>
      </c>
      <c r="B63" s="5" t="s">
        <v>70</v>
      </c>
      <c r="C63" s="3" t="s">
        <v>10</v>
      </c>
      <c r="D63" s="3"/>
    </row>
    <row r="64" spans="1:4" ht="18">
      <c r="A64" s="2">
        <v>802</v>
      </c>
      <c r="B64" s="5" t="s">
        <v>71</v>
      </c>
      <c r="C64" s="3" t="s">
        <v>10</v>
      </c>
      <c r="D64" s="3"/>
    </row>
    <row r="65" spans="1:4" ht="18">
      <c r="A65" s="2">
        <v>803</v>
      </c>
      <c r="B65" s="5" t="s">
        <v>72</v>
      </c>
      <c r="C65" s="3" t="s">
        <v>10</v>
      </c>
      <c r="D65" s="3"/>
    </row>
    <row r="66" spans="1:4" ht="18">
      <c r="A66" s="2">
        <v>804</v>
      </c>
      <c r="B66" s="5" t="s">
        <v>73</v>
      </c>
      <c r="C66" s="3" t="s">
        <v>10</v>
      </c>
      <c r="D66" s="3"/>
    </row>
    <row r="67" spans="1:4" ht="18">
      <c r="A67" s="2">
        <v>805</v>
      </c>
      <c r="B67" s="5" t="s">
        <v>74</v>
      </c>
      <c r="C67" s="3" t="s">
        <v>10</v>
      </c>
      <c r="D67" s="3"/>
    </row>
    <row r="68" spans="1:4" ht="18">
      <c r="A68" s="2">
        <v>806</v>
      </c>
      <c r="B68" s="5" t="s">
        <v>75</v>
      </c>
      <c r="C68" s="3" t="s">
        <v>10</v>
      </c>
      <c r="D68" s="3"/>
    </row>
    <row r="69" spans="1:4" ht="18">
      <c r="A69" s="2">
        <v>807</v>
      </c>
      <c r="B69" s="5" t="s">
        <v>76</v>
      </c>
      <c r="C69" s="3" t="s">
        <v>10</v>
      </c>
      <c r="D69" s="3"/>
    </row>
    <row r="70" spans="1:4" ht="18">
      <c r="A70" s="2">
        <v>808</v>
      </c>
      <c r="B70" s="5" t="s">
        <v>77</v>
      </c>
      <c r="C70" s="3" t="s">
        <v>10</v>
      </c>
      <c r="D70" s="3"/>
    </row>
    <row r="71" spans="1:4" ht="18">
      <c r="A71" s="2">
        <v>809</v>
      </c>
      <c r="B71" s="5" t="s">
        <v>78</v>
      </c>
      <c r="C71" s="3"/>
      <c r="D71" s="3"/>
    </row>
    <row r="72" spans="1:4" ht="18">
      <c r="A72" s="2">
        <v>810</v>
      </c>
      <c r="B72" s="5" t="s">
        <v>79</v>
      </c>
      <c r="C72" s="3" t="s">
        <v>10</v>
      </c>
      <c r="D72" s="3"/>
    </row>
    <row r="73" spans="1:4" ht="18">
      <c r="A73" s="2">
        <v>811</v>
      </c>
      <c r="B73" s="5" t="s">
        <v>80</v>
      </c>
      <c r="C73" s="3" t="s">
        <v>10</v>
      </c>
      <c r="D73" s="3"/>
    </row>
    <row r="74" spans="1:4" ht="18">
      <c r="A74" s="2">
        <v>812</v>
      </c>
      <c r="B74" s="5" t="s">
        <v>81</v>
      </c>
      <c r="C74" s="3" t="s">
        <v>10</v>
      </c>
      <c r="D74" s="3"/>
    </row>
    <row r="75" spans="1:4" ht="18">
      <c r="A75" s="2">
        <v>813</v>
      </c>
      <c r="B75" s="6" t="s">
        <v>82</v>
      </c>
      <c r="C75" s="3" t="s">
        <v>10</v>
      </c>
      <c r="D75" s="3"/>
    </row>
    <row r="76" spans="1:4" ht="18">
      <c r="A76" s="2">
        <v>814</v>
      </c>
      <c r="B76" s="5" t="s">
        <v>83</v>
      </c>
      <c r="C76" s="3" t="s">
        <v>10</v>
      </c>
      <c r="D76" s="3"/>
    </row>
    <row r="77" spans="1:4" ht="18">
      <c r="A77" s="2">
        <v>815</v>
      </c>
      <c r="B77" s="5" t="s">
        <v>84</v>
      </c>
      <c r="C77" s="3" t="s">
        <v>10</v>
      </c>
      <c r="D77" s="3"/>
    </row>
    <row r="78" spans="1:4" ht="18">
      <c r="A78" s="2">
        <v>816</v>
      </c>
      <c r="B78" s="5" t="s">
        <v>85</v>
      </c>
      <c r="C78" s="3"/>
      <c r="D78" s="3"/>
    </row>
    <row r="79" spans="1:4" ht="18">
      <c r="A79" s="2">
        <v>817</v>
      </c>
      <c r="B79" s="5" t="s">
        <v>86</v>
      </c>
      <c r="C79" s="3" t="s">
        <v>10</v>
      </c>
      <c r="D79" s="3"/>
    </row>
    <row r="80" spans="1:4" ht="18">
      <c r="A80" s="2">
        <v>818</v>
      </c>
      <c r="B80" s="5" t="s">
        <v>87</v>
      </c>
      <c r="C80" s="3" t="s">
        <v>10</v>
      </c>
      <c r="D80" s="3"/>
    </row>
    <row r="81" spans="1:4" ht="18">
      <c r="A81" s="2">
        <v>819</v>
      </c>
      <c r="B81" s="5" t="s">
        <v>88</v>
      </c>
      <c r="C81" s="3" t="s">
        <v>10</v>
      </c>
      <c r="D81" s="3"/>
    </row>
    <row r="82" spans="1:4" ht="18">
      <c r="A82" s="2">
        <v>820</v>
      </c>
      <c r="B82" s="5" t="s">
        <v>89</v>
      </c>
      <c r="C82" s="3" t="s">
        <v>10</v>
      </c>
      <c r="D82" s="3"/>
    </row>
    <row r="83" spans="1:4" ht="18">
      <c r="A83" s="2">
        <v>821</v>
      </c>
      <c r="B83" s="5" t="s">
        <v>90</v>
      </c>
      <c r="C83" s="3" t="s">
        <v>10</v>
      </c>
      <c r="D83" s="3"/>
    </row>
    <row r="84" spans="1:4" ht="18">
      <c r="A84" s="2">
        <v>822</v>
      </c>
      <c r="B84" s="5" t="s">
        <v>91</v>
      </c>
      <c r="C84" s="3" t="s">
        <v>10</v>
      </c>
      <c r="D84" s="3"/>
    </row>
    <row r="85" spans="1:4" ht="18">
      <c r="A85" s="2">
        <v>823</v>
      </c>
      <c r="B85" s="5" t="s">
        <v>92</v>
      </c>
      <c r="C85" s="3" t="s">
        <v>10</v>
      </c>
      <c r="D85" s="3"/>
    </row>
    <row r="86" spans="1:4" ht="18">
      <c r="A86" s="2">
        <v>824</v>
      </c>
      <c r="B86" s="6" t="s">
        <v>93</v>
      </c>
      <c r="C86" s="3" t="s">
        <v>10</v>
      </c>
      <c r="D86" s="3"/>
    </row>
    <row r="87" spans="1:4" ht="18">
      <c r="A87" s="2">
        <v>825</v>
      </c>
      <c r="B87" s="6" t="s">
        <v>94</v>
      </c>
      <c r="C87" s="3" t="s">
        <v>10</v>
      </c>
      <c r="D87" s="3"/>
    </row>
    <row r="88" spans="1:4" ht="18">
      <c r="A88" s="2">
        <v>826</v>
      </c>
      <c r="B88" s="6" t="s">
        <v>95</v>
      </c>
      <c r="C88" s="3" t="s">
        <v>10</v>
      </c>
      <c r="D88" s="3"/>
    </row>
    <row r="89" spans="1:4" ht="18">
      <c r="A89" s="2">
        <v>827</v>
      </c>
      <c r="B89" s="5" t="s">
        <v>96</v>
      </c>
      <c r="C89" s="3"/>
      <c r="D89" s="3"/>
    </row>
    <row r="90" spans="1:4" ht="18">
      <c r="A90" s="2">
        <v>828</v>
      </c>
      <c r="B90" s="5" t="s">
        <v>97</v>
      </c>
      <c r="C90" s="3" t="s">
        <v>10</v>
      </c>
      <c r="D90" s="3"/>
    </row>
    <row r="91" spans="1:4" ht="18">
      <c r="A91" s="2">
        <v>829</v>
      </c>
      <c r="B91" s="5" t="s">
        <v>98</v>
      </c>
      <c r="C91" s="3" t="s">
        <v>10</v>
      </c>
      <c r="D91" s="3"/>
    </row>
    <row r="92" spans="1:4" ht="18">
      <c r="A92" s="2">
        <v>830</v>
      </c>
      <c r="B92" s="6" t="s">
        <v>99</v>
      </c>
      <c r="C92" s="3" t="s">
        <v>10</v>
      </c>
      <c r="D92" s="3"/>
    </row>
    <row r="93" spans="1:4" ht="18">
      <c r="A93" s="2">
        <v>831</v>
      </c>
      <c r="B93" s="6" t="s">
        <v>100</v>
      </c>
      <c r="C93" s="3" t="s">
        <v>10</v>
      </c>
      <c r="D93" s="3"/>
    </row>
    <row r="94" spans="1:4" ht="18">
      <c r="A94" s="2">
        <v>832</v>
      </c>
      <c r="B94" s="9" t="s">
        <v>101</v>
      </c>
      <c r="C94" s="3" t="s">
        <v>10</v>
      </c>
      <c r="D94" s="3"/>
    </row>
    <row r="95" spans="1:4" ht="18">
      <c r="A95" s="2">
        <v>833</v>
      </c>
      <c r="B95" s="9" t="s">
        <v>102</v>
      </c>
      <c r="C95" s="3" t="s">
        <v>10</v>
      </c>
      <c r="D95" s="3"/>
    </row>
    <row r="96" spans="1:4" ht="18">
      <c r="A96" s="2">
        <v>834</v>
      </c>
      <c r="B96" s="9" t="s">
        <v>103</v>
      </c>
      <c r="C96" s="3" t="s">
        <v>10</v>
      </c>
      <c r="D96" s="3"/>
    </row>
    <row r="97" spans="1:4" ht="18">
      <c r="A97" s="2">
        <v>835</v>
      </c>
      <c r="B97" s="9" t="s">
        <v>104</v>
      </c>
      <c r="C97" s="10"/>
      <c r="D97" s="1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5:G16"/>
  <sheetViews>
    <sheetView rightToLeft="1" topLeftCell="A4" workbookViewId="0">
      <selection activeCell="G13" sqref="G13"/>
    </sheetView>
  </sheetViews>
  <sheetFormatPr defaultRowHeight="15"/>
  <cols>
    <col min="1" max="1" width="18.5703125" bestFit="1" customWidth="1"/>
    <col min="2" max="2" width="10.28515625" bestFit="1" customWidth="1"/>
    <col min="3" max="3" width="21.42578125" customWidth="1"/>
    <col min="4" max="4" width="7.85546875" bestFit="1" customWidth="1"/>
    <col min="5" max="5" width="22.42578125" bestFit="1" customWidth="1"/>
    <col min="6" max="6" width="14.140625" customWidth="1"/>
    <col min="7" max="7" width="12.7109375" customWidth="1"/>
  </cols>
  <sheetData>
    <row r="5" spans="1:7" ht="26.25">
      <c r="F5" s="34" t="b">
        <f>F6=G6</f>
        <v>0</v>
      </c>
      <c r="G5" s="34"/>
    </row>
    <row r="6" spans="1:7" ht="21">
      <c r="F6" s="22">
        <f>SUM(F9:F1300)</f>
        <v>1</v>
      </c>
      <c r="G6" s="22">
        <f>SUM(G9:G1300)</f>
        <v>2</v>
      </c>
    </row>
    <row r="7" spans="1:7" ht="28.5">
      <c r="D7" s="18"/>
      <c r="E7" s="19"/>
      <c r="F7" s="35" t="s">
        <v>105</v>
      </c>
      <c r="G7" s="35"/>
    </row>
    <row r="8" spans="1:7" ht="48" customHeight="1">
      <c r="A8" s="15" t="s">
        <v>106</v>
      </c>
      <c r="B8" s="15" t="s">
        <v>107</v>
      </c>
      <c r="C8" s="15" t="s">
        <v>108</v>
      </c>
      <c r="D8" s="15" t="s">
        <v>109</v>
      </c>
      <c r="E8" s="15" t="s">
        <v>110</v>
      </c>
      <c r="F8" s="16" t="s">
        <v>111</v>
      </c>
      <c r="G8" s="17" t="s">
        <v>112</v>
      </c>
    </row>
    <row r="9" spans="1:7" ht="26.25">
      <c r="D9">
        <v>13</v>
      </c>
      <c r="E9" s="21" t="str">
        <f>VLOOKUP(D9,'دليل الحساب'!A:B,2,FALSE)</f>
        <v>المدينون</v>
      </c>
      <c r="F9">
        <v>1</v>
      </c>
      <c r="G9">
        <v>1</v>
      </c>
    </row>
    <row r="10" spans="1:7" ht="26.25">
      <c r="D10">
        <v>11</v>
      </c>
      <c r="E10" s="21" t="str">
        <f>VLOOKUP(D10,'دليل الحساب'!A:B,2,FALSE)</f>
        <v>صندوق</v>
      </c>
    </row>
    <row r="11" spans="1:7" ht="26.25">
      <c r="D11">
        <v>11</v>
      </c>
      <c r="E11" s="21" t="str">
        <f>VLOOKUP(D11,'دليل الحساب'!A:B,2,FALSE)</f>
        <v>صندوق</v>
      </c>
    </row>
    <row r="12" spans="1:7" ht="26.25">
      <c r="D12">
        <v>11</v>
      </c>
      <c r="E12" s="21" t="str">
        <f>VLOOKUP(D12,'دليل الحساب'!A:B,2,FALSE)</f>
        <v>صندوق</v>
      </c>
      <c r="G12">
        <v>1</v>
      </c>
    </row>
    <row r="13" spans="1:7" ht="26.25">
      <c r="D13">
        <v>12</v>
      </c>
      <c r="E13" s="21" t="str">
        <f>VLOOKUP(D13,'دليل الحساب'!A:B,2,FALSE)</f>
        <v>البنك</v>
      </c>
    </row>
    <row r="14" spans="1:7" ht="26.25">
      <c r="D14">
        <v>12</v>
      </c>
      <c r="E14" s="21" t="str">
        <f>VLOOKUP(D14,'دليل الحساب'!A:B,2,FALSE)</f>
        <v>البنك</v>
      </c>
    </row>
    <row r="15" spans="1:7" ht="26.25">
      <c r="E15" s="21" t="e">
        <f>VLOOKUP(D15,'دليل الحساب'!A:B,2,FALSE)</f>
        <v>#N/A</v>
      </c>
    </row>
    <row r="16" spans="1:7" ht="26.25">
      <c r="E16" s="21" t="e">
        <f>VLOOKUP(D16,'دليل الحساب'!A:B,2,FALSE)</f>
        <v>#N/A</v>
      </c>
    </row>
  </sheetData>
  <autoFilter ref="A8:G16" xr:uid="{00000000-0009-0000-0000-000003000000}"/>
  <mergeCells count="2">
    <mergeCell ref="F5:G5"/>
    <mergeCell ref="F7:G7"/>
  </mergeCells>
  <conditionalFormatting sqref="F5:G5">
    <cfRule type="containsText" dxfId="0" priority="1" operator="containsText" text="False">
      <formula>NOT(ISERROR(SEARCH("False",F5)))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G16"/>
  <sheetViews>
    <sheetView rightToLeft="1" workbookViewId="0">
      <selection activeCell="C11" sqref="C11"/>
    </sheetView>
  </sheetViews>
  <sheetFormatPr defaultRowHeight="15"/>
  <cols>
    <col min="1" max="1" width="18.5703125" bestFit="1" customWidth="1"/>
    <col min="2" max="2" width="10.28515625" bestFit="1" customWidth="1"/>
    <col min="3" max="3" width="21.42578125" customWidth="1"/>
    <col min="4" max="4" width="7.85546875" bestFit="1" customWidth="1"/>
    <col min="5" max="5" width="22.42578125" bestFit="1" customWidth="1"/>
    <col min="6" max="6" width="14.140625" customWidth="1"/>
    <col min="7" max="7" width="12.7109375" customWidth="1"/>
  </cols>
  <sheetData>
    <row r="2" spans="1:7" ht="31.5">
      <c r="D2" s="15" t="s">
        <v>109</v>
      </c>
      <c r="E2" s="15" t="s">
        <v>110</v>
      </c>
    </row>
    <row r="3" spans="1:7" ht="26.25">
      <c r="D3">
        <v>11</v>
      </c>
      <c r="E3" s="21" t="str">
        <f>VLOOKUP(D3,'دليل الحساب'!A:B,2,FALSE)</f>
        <v>صندوق</v>
      </c>
    </row>
    <row r="5" spans="1:7" ht="26.25">
      <c r="F5" s="34" t="b">
        <f>F6=G6</f>
        <v>1</v>
      </c>
      <c r="G5" s="34"/>
    </row>
    <row r="6" spans="1:7" ht="21">
      <c r="F6" s="22">
        <f>SUM(F9:F1300)</f>
        <v>0</v>
      </c>
      <c r="G6" s="22">
        <f>SUM(G9:G1300)</f>
        <v>0</v>
      </c>
    </row>
    <row r="7" spans="1:7" ht="28.5">
      <c r="D7" s="18"/>
      <c r="E7" s="19"/>
      <c r="F7" s="35" t="s">
        <v>105</v>
      </c>
      <c r="G7" s="35"/>
    </row>
    <row r="8" spans="1:7" ht="48" customHeight="1">
      <c r="A8" s="15" t="s">
        <v>106</v>
      </c>
      <c r="B8" s="15" t="s">
        <v>107</v>
      </c>
      <c r="C8" s="15" t="s">
        <v>108</v>
      </c>
      <c r="D8" s="15" t="s">
        <v>109</v>
      </c>
      <c r="E8" s="15" t="s">
        <v>110</v>
      </c>
      <c r="F8" s="16" t="s">
        <v>111</v>
      </c>
      <c r="G8" s="17" t="s">
        <v>112</v>
      </c>
    </row>
    <row r="9" spans="1:7" ht="26.25">
      <c r="E9" s="21"/>
    </row>
    <row r="10" spans="1:7" ht="26.25">
      <c r="E10" s="21"/>
    </row>
    <row r="11" spans="1:7" ht="26.25">
      <c r="E11" s="21"/>
    </row>
    <row r="12" spans="1:7" ht="26.25">
      <c r="E12" s="21"/>
    </row>
    <row r="13" spans="1:7" ht="26.25">
      <c r="E13" s="21"/>
    </row>
    <row r="14" spans="1:7" ht="26.25">
      <c r="E14" s="21"/>
    </row>
    <row r="15" spans="1:7" ht="26.25">
      <c r="E15" s="21"/>
    </row>
    <row r="16" spans="1:7" ht="26.25">
      <c r="E16" s="21"/>
    </row>
  </sheetData>
  <mergeCells count="2">
    <mergeCell ref="F7:G7"/>
    <mergeCell ref="F5:G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cro1">
                <anchor moveWithCells="1" sizeWithCells="1">
                  <from>
                    <xdr:col>0</xdr:col>
                    <xdr:colOff>942975</xdr:colOff>
                    <xdr:row>1</xdr:row>
                    <xdr:rowOff>228600</xdr:rowOff>
                  </from>
                  <to>
                    <xdr:col>2</xdr:col>
                    <xdr:colOff>609600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ميزانية مراجعة</vt:lpstr>
      <vt:lpstr>قائمة الدخل</vt:lpstr>
      <vt:lpstr>قائمة مركز المالي</vt:lpstr>
      <vt:lpstr>دليل الحساب</vt:lpstr>
      <vt:lpstr>op &amp; ge</vt:lpstr>
      <vt:lpstr>دفتر استاذ</vt:lpstr>
      <vt:lpstr>'دفتر استاذ'!Criteria</vt:lpstr>
      <vt:lpstr>'دفتر استاذ'!Extract</vt:lpstr>
    </vt:vector>
  </TitlesOfParts>
  <Company>Microsoft (C)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Aland Hamza</cp:lastModifiedBy>
  <dcterms:created xsi:type="dcterms:W3CDTF">2026-01-18T11:16:25Z</dcterms:created>
  <dcterms:modified xsi:type="dcterms:W3CDTF">2026-01-19T13:35:09Z</dcterms:modified>
</cp:coreProperties>
</file>