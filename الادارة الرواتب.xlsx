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aland\Downloads\"/>
    </mc:Choice>
  </mc:AlternateContent>
  <xr:revisionPtr revIDLastSave="0" documentId="13_ncr:1_{1A164BC6-B7ED-4FDE-9313-2F14F1F7E603}" xr6:coauthVersionLast="47" xr6:coauthVersionMax="47" xr10:uidLastSave="{00000000-0000-0000-0000-000000000000}"/>
  <bookViews>
    <workbookView xWindow="-120" yWindow="-120" windowWidth="20730" windowHeight="11040" firstSheet="4" activeTab="4" xr2:uid="{00000000-000D-0000-FFFF-FFFF00000000}"/>
  </bookViews>
  <sheets>
    <sheet name="HOME" sheetId="1" r:id="rId1"/>
    <sheet name="ادارة المشتريات" sheetId="7" r:id="rId2"/>
    <sheet name="ادارة المبيعات" sheetId="8" r:id="rId3"/>
    <sheet name="كود الموظف" sheetId="6" r:id="rId4"/>
    <sheet name="اسم الموظف" sheetId="2" r:id="rId5"/>
    <sheet name="رواتب الموظفين" sheetId="3" r:id="rId6"/>
    <sheet name="رواتب موضفين" sheetId="9" r:id="rId7"/>
    <sheet name="كودي موضف" sheetId="10" r:id="rId8"/>
    <sheet name="سلف الموظفين" sheetId="4" r:id="rId9"/>
    <sheet name="حضور وغياب الموظف" sheetId="5" r:id="rId10"/>
  </sheets>
  <externalReferences>
    <externalReference r:id="rId11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2" i="10" l="1"/>
  <c r="D10" i="10"/>
  <c r="D9" i="10"/>
  <c r="D8" i="10"/>
  <c r="D7" i="10"/>
  <c r="D6" i="10"/>
  <c r="F7" i="9"/>
  <c r="F8" i="9"/>
  <c r="F9" i="9"/>
  <c r="F10" i="9"/>
  <c r="F11" i="9"/>
  <c r="F12" i="9"/>
  <c r="F13" i="9"/>
  <c r="F14" i="9"/>
  <c r="F15" i="9"/>
  <c r="L7" i="9"/>
  <c r="L8" i="9"/>
  <c r="O8" i="9" s="1"/>
  <c r="Q8" i="9" s="1"/>
  <c r="L9" i="9"/>
  <c r="O9" i="9" s="1"/>
  <c r="Q9" i="9" s="1"/>
  <c r="L10" i="9"/>
  <c r="L11" i="9"/>
  <c r="L12" i="9"/>
  <c r="L13" i="9"/>
  <c r="O13" i="9" s="1"/>
  <c r="Q13" i="9" s="1"/>
  <c r="L14" i="9"/>
  <c r="O14" i="9" s="1"/>
  <c r="Q14" i="9" s="1"/>
  <c r="L15" i="9"/>
  <c r="L16" i="9"/>
  <c r="L17" i="9"/>
  <c r="L18" i="9"/>
  <c r="L19" i="9"/>
  <c r="O19" i="9" s="1"/>
  <c r="Q19" i="9" s="1"/>
  <c r="L20" i="9"/>
  <c r="L21" i="9"/>
  <c r="L22" i="9"/>
  <c r="L23" i="9"/>
  <c r="L24" i="9"/>
  <c r="L25" i="9"/>
  <c r="L26" i="9"/>
  <c r="L27" i="9"/>
  <c r="L28" i="9"/>
  <c r="L29" i="9"/>
  <c r="L30" i="9"/>
  <c r="Q22" i="9"/>
  <c r="Q23" i="9"/>
  <c r="Q24" i="9"/>
  <c r="Q25" i="9"/>
  <c r="Q26" i="9"/>
  <c r="Q27" i="9"/>
  <c r="Q28" i="9"/>
  <c r="Q29" i="9"/>
  <c r="Q30" i="9"/>
  <c r="O7" i="9"/>
  <c r="Q7" i="9" s="1"/>
  <c r="O10" i="9"/>
  <c r="Q10" i="9" s="1"/>
  <c r="O11" i="9"/>
  <c r="Q11" i="9" s="1"/>
  <c r="O12" i="9"/>
  <c r="Q12" i="9" s="1"/>
  <c r="O15" i="9"/>
  <c r="Q15" i="9" s="1"/>
  <c r="O16" i="9"/>
  <c r="Q16" i="9" s="1"/>
  <c r="O17" i="9"/>
  <c r="Q17" i="9" s="1"/>
  <c r="O18" i="9"/>
  <c r="Q18" i="9" s="1"/>
  <c r="O20" i="9"/>
  <c r="Q20" i="9" s="1"/>
  <c r="O21" i="9"/>
  <c r="Q21" i="9" s="1"/>
  <c r="Q31" i="9"/>
  <c r="Q32" i="9"/>
  <c r="Q33" i="9"/>
  <c r="Q34" i="9"/>
  <c r="D8" i="9"/>
  <c r="D9" i="9"/>
  <c r="D10" i="9"/>
  <c r="D11" i="9"/>
  <c r="D12" i="9"/>
  <c r="D13" i="9"/>
  <c r="D14" i="9"/>
  <c r="D15" i="9"/>
  <c r="D16" i="9"/>
  <c r="D17" i="9"/>
  <c r="D18" i="9"/>
  <c r="D19" i="9"/>
  <c r="D20" i="9"/>
  <c r="D21" i="9"/>
  <c r="D22" i="9"/>
  <c r="D23" i="9"/>
  <c r="D24" i="9"/>
  <c r="D25" i="9"/>
  <c r="D26" i="9"/>
  <c r="D27" i="9"/>
  <c r="D28" i="9"/>
  <c r="D29" i="9"/>
  <c r="Q6" i="9"/>
  <c r="K3" i="9"/>
  <c r="O6" i="9"/>
  <c r="M6" i="9"/>
  <c r="L6" i="9"/>
  <c r="K6" i="9"/>
  <c r="I6" i="9"/>
  <c r="G6" i="9"/>
  <c r="H3" i="9"/>
  <c r="E3" i="9"/>
  <c r="D3" i="9"/>
  <c r="F6" i="9"/>
  <c r="D7" i="9"/>
  <c r="D30" i="9"/>
  <c r="D31" i="9"/>
  <c r="D32" i="9"/>
  <c r="D33" i="9"/>
  <c r="D34" i="9"/>
  <c r="D35" i="9"/>
  <c r="D6" i="9"/>
  <c r="B7" i="9"/>
  <c r="B8" i="9"/>
  <c r="B9" i="9"/>
  <c r="B10" i="9"/>
  <c r="B11" i="9"/>
  <c r="B12" i="9"/>
  <c r="B13" i="9"/>
  <c r="B14" i="9"/>
  <c r="B15" i="9"/>
  <c r="B16" i="9"/>
  <c r="B17" i="9"/>
  <c r="B18" i="9"/>
  <c r="B19" i="9"/>
  <c r="B20" i="9"/>
  <c r="B21" i="9"/>
  <c r="B22" i="9"/>
  <c r="B23" i="9"/>
  <c r="B24" i="9"/>
  <c r="B25" i="9"/>
  <c r="B6" i="9"/>
  <c r="C19" i="8"/>
  <c r="A19" i="8"/>
  <c r="E19" i="8"/>
  <c r="D19" i="8"/>
  <c r="F8" i="8"/>
  <c r="F18" i="7"/>
  <c r="D18" i="7"/>
  <c r="C18" i="7"/>
  <c r="E18" i="7"/>
  <c r="E6" i="7"/>
  <c r="D20" i="8" l="1"/>
  <c r="H18" i="7"/>
  <c r="G18" i="7"/>
  <c r="F19" i="8" l="1"/>
  <c r="I18" i="7"/>
  <c r="G19" i="8" l="1"/>
  <c r="H19" i="8" l="1"/>
  <c r="J18" i="7"/>
  <c r="I19" i="8" l="1"/>
  <c r="K19" i="8"/>
  <c r="L18" i="7"/>
  <c r="K18" i="7"/>
  <c r="L19" i="8" l="1"/>
  <c r="J19" i="8"/>
  <c r="C14" i="6" l="1"/>
  <c r="C13" i="6"/>
  <c r="C11" i="6"/>
  <c r="O10" i="3"/>
  <c r="O16" i="3"/>
  <c r="O18" i="3"/>
  <c r="M9" i="3"/>
  <c r="M10" i="3"/>
  <c r="M11" i="3"/>
  <c r="M12" i="3"/>
  <c r="O12" i="3" s="1"/>
  <c r="M13" i="3"/>
  <c r="M14" i="3"/>
  <c r="O14" i="3" s="1"/>
  <c r="M15" i="3"/>
  <c r="M16" i="3"/>
  <c r="M17" i="3"/>
  <c r="M18" i="3"/>
  <c r="M19" i="3"/>
  <c r="M8" i="3"/>
  <c r="O8" i="3" s="1"/>
  <c r="L9" i="3"/>
  <c r="O9" i="3" s="1"/>
  <c r="L10" i="3"/>
  <c r="L11" i="3"/>
  <c r="O11" i="3" s="1"/>
  <c r="P11" i="3" s="1"/>
  <c r="L12" i="3"/>
  <c r="L13" i="3"/>
  <c r="O13" i="3" s="1"/>
  <c r="L14" i="3"/>
  <c r="L15" i="3"/>
  <c r="O15" i="3" s="1"/>
  <c r="L16" i="3"/>
  <c r="L17" i="3"/>
  <c r="O17" i="3" s="1"/>
  <c r="L18" i="3"/>
  <c r="L19" i="3"/>
  <c r="O19" i="3" s="1"/>
  <c r="P19" i="3" s="1"/>
  <c r="L8" i="3"/>
  <c r="K9" i="3"/>
  <c r="K10" i="3"/>
  <c r="K11" i="3"/>
  <c r="K12" i="3"/>
  <c r="K13" i="3"/>
  <c r="K14" i="3"/>
  <c r="K15" i="3"/>
  <c r="K16" i="3"/>
  <c r="K17" i="3"/>
  <c r="K18" i="3"/>
  <c r="K19" i="3"/>
  <c r="K8" i="3"/>
  <c r="D5" i="3"/>
  <c r="H8" i="3" s="1"/>
  <c r="C16" i="6" s="1"/>
  <c r="I11" i="3"/>
  <c r="I13" i="3"/>
  <c r="P13" i="3" s="1"/>
  <c r="I15" i="3"/>
  <c r="P15" i="3" s="1"/>
  <c r="I19" i="3"/>
  <c r="G9" i="3"/>
  <c r="I9" i="3" s="1"/>
  <c r="G10" i="3"/>
  <c r="G11" i="3"/>
  <c r="G12" i="3"/>
  <c r="G13" i="3"/>
  <c r="G14" i="3"/>
  <c r="G15" i="3"/>
  <c r="G16" i="3"/>
  <c r="G17" i="3"/>
  <c r="I17" i="3" s="1"/>
  <c r="P17" i="3" s="1"/>
  <c r="G18" i="3"/>
  <c r="G19" i="3"/>
  <c r="G8" i="3"/>
  <c r="C15" i="6" s="1"/>
  <c r="D9" i="3"/>
  <c r="D10" i="3"/>
  <c r="I10" i="3" s="1"/>
  <c r="P10" i="3" s="1"/>
  <c r="D11" i="3"/>
  <c r="D12" i="3"/>
  <c r="I12" i="3" s="1"/>
  <c r="D13" i="3"/>
  <c r="D14" i="3"/>
  <c r="I14" i="3" s="1"/>
  <c r="D15" i="3"/>
  <c r="D16" i="3"/>
  <c r="I16" i="3" s="1"/>
  <c r="P16" i="3" s="1"/>
  <c r="D17" i="3"/>
  <c r="D18" i="3"/>
  <c r="I18" i="3" s="1"/>
  <c r="P18" i="3" s="1"/>
  <c r="D19" i="3"/>
  <c r="D8" i="3"/>
  <c r="I8" i="3" s="1"/>
  <c r="B9" i="3"/>
  <c r="B10" i="3"/>
  <c r="B11" i="3"/>
  <c r="B12" i="3"/>
  <c r="B8" i="3"/>
  <c r="C9" i="6" s="1"/>
  <c r="C17" i="6" l="1"/>
  <c r="P8" i="3"/>
  <c r="P12" i="3"/>
  <c r="P14" i="3"/>
  <c r="C12" i="6"/>
  <c r="P9" i="3"/>
  <c r="B13" i="3"/>
  <c r="B14" i="3"/>
  <c r="B15" i="3"/>
  <c r="B16" i="3"/>
  <c r="B17" i="3"/>
  <c r="B18" i="3"/>
  <c r="B19" i="3"/>
  <c r="I20" i="4"/>
  <c r="F20" i="4"/>
  <c r="C20" i="4"/>
  <c r="D20" i="3" l="1"/>
  <c r="E20" i="3"/>
  <c r="F20" i="3"/>
  <c r="G20" i="3"/>
  <c r="H20" i="3"/>
  <c r="I20" i="3"/>
  <c r="J20" i="3"/>
  <c r="L20" i="3"/>
  <c r="M20" i="3"/>
  <c r="N20" i="3"/>
  <c r="O20" i="3"/>
  <c r="P20" i="3"/>
  <c r="C20" i="3"/>
</calcChain>
</file>

<file path=xl/sharedStrings.xml><?xml version="1.0" encoding="utf-8"?>
<sst xmlns="http://schemas.openxmlformats.org/spreadsheetml/2006/main" count="148" uniqueCount="100">
  <si>
    <t>كود</t>
  </si>
  <si>
    <t xml:space="preserve">ناوى سيانى </t>
  </si>
  <si>
    <t xml:space="preserve">برِوانامة </t>
  </si>
  <si>
    <t>بةروارى لة دايكبوون</t>
  </si>
  <si>
    <t xml:space="preserve">ذ/كارتى نيشتمانى </t>
  </si>
  <si>
    <t xml:space="preserve">طروبى خويَن </t>
  </si>
  <si>
    <t xml:space="preserve">شويَنى كاركردن </t>
  </si>
  <si>
    <t xml:space="preserve">ناونيشان </t>
  </si>
  <si>
    <t>ذ/موبايل</t>
  </si>
  <si>
    <t xml:space="preserve">بةروارى دةست بةكاربوون </t>
  </si>
  <si>
    <t xml:space="preserve">مخصصات </t>
  </si>
  <si>
    <t xml:space="preserve">ليَبرينةكان </t>
  </si>
  <si>
    <t xml:space="preserve">رقم </t>
  </si>
  <si>
    <t xml:space="preserve">ناو </t>
  </si>
  <si>
    <t xml:space="preserve">راتب الاساسي </t>
  </si>
  <si>
    <t>شهادة</t>
  </si>
  <si>
    <t>نقل</t>
  </si>
  <si>
    <t>زوجى</t>
  </si>
  <si>
    <t>مةترسي</t>
  </si>
  <si>
    <t xml:space="preserve">كارى زيادة  </t>
  </si>
  <si>
    <t xml:space="preserve">مجموع مخصصات </t>
  </si>
  <si>
    <t xml:space="preserve">ئامادةنةبون </t>
  </si>
  <si>
    <t xml:space="preserve">تامين صحى </t>
  </si>
  <si>
    <t>سلف و اخري</t>
  </si>
  <si>
    <t xml:space="preserve">مجموع الاستقتاعات </t>
  </si>
  <si>
    <t>راتب المستحق</t>
  </si>
  <si>
    <t>تيَبينى</t>
  </si>
  <si>
    <t>TOTAL</t>
  </si>
  <si>
    <t>م</t>
  </si>
  <si>
    <t>القسط</t>
  </si>
  <si>
    <t>الإجمالى</t>
  </si>
  <si>
    <t>سلف الموظف</t>
  </si>
  <si>
    <t>احمد</t>
  </si>
  <si>
    <t>BSC</t>
  </si>
  <si>
    <t>O-</t>
  </si>
  <si>
    <t>MARKETING</t>
  </si>
  <si>
    <t>IRAQ-KURDISTAN-SULAIMANY</t>
  </si>
  <si>
    <t>22/10/2020</t>
  </si>
  <si>
    <t>MAHMUD</t>
  </si>
  <si>
    <t>DL</t>
  </si>
  <si>
    <t>O+</t>
  </si>
  <si>
    <t>ACCOUNTING</t>
  </si>
  <si>
    <t>RAWF</t>
  </si>
  <si>
    <t>AHMAD</t>
  </si>
  <si>
    <t>بيمةى كؤمةلَايةتى %12</t>
  </si>
  <si>
    <t>بيمةى كؤمةلَايةتى %5</t>
  </si>
  <si>
    <t xml:space="preserve">مصاريف المشتريات </t>
  </si>
  <si>
    <t xml:space="preserve">المبلغ </t>
  </si>
  <si>
    <t xml:space="preserve">كلفة شحن </t>
  </si>
  <si>
    <t>كلفة و نقل و حمالي</t>
  </si>
  <si>
    <t xml:space="preserve">كلفة كمركي </t>
  </si>
  <si>
    <t>كلفة قبان</t>
  </si>
  <si>
    <t>اجمالى</t>
  </si>
  <si>
    <t>رقم</t>
  </si>
  <si>
    <t>اسم منتج</t>
  </si>
  <si>
    <t>عدد كارتون</t>
  </si>
  <si>
    <t xml:space="preserve">القطعة - دانة </t>
  </si>
  <si>
    <t>الوحدات</t>
  </si>
  <si>
    <t>سعر كارتون</t>
  </si>
  <si>
    <t>سعر مجموع كارتون</t>
  </si>
  <si>
    <t>سعر الوحدة</t>
  </si>
  <si>
    <t>مجموع مبلغ في الوحدة</t>
  </si>
  <si>
    <t xml:space="preserve">كلفة المضافة </t>
  </si>
  <si>
    <t xml:space="preserve">المبلغ بعد اضافة </t>
  </si>
  <si>
    <t>سعر وحدة نهائى</t>
  </si>
  <si>
    <t>كةوجك</t>
  </si>
  <si>
    <t>جةتال</t>
  </si>
  <si>
    <t>جةقو</t>
  </si>
  <si>
    <t>علبة</t>
  </si>
  <si>
    <t>سفرة</t>
  </si>
  <si>
    <t>محسن غبز</t>
  </si>
  <si>
    <t>باودر</t>
  </si>
  <si>
    <t>كوي كشتي</t>
  </si>
  <si>
    <t>مصروفاتي بيع</t>
  </si>
  <si>
    <t>ريكلام</t>
  </si>
  <si>
    <t>ايجار مخزن</t>
  </si>
  <si>
    <t>اجور نقل و حمالي</t>
  </si>
  <si>
    <t>رواتب اجور</t>
  </si>
  <si>
    <t>مجموعى مةصارف بيع</t>
  </si>
  <si>
    <t>اسم صنف</t>
  </si>
  <si>
    <t xml:space="preserve"> مصاريف بيع</t>
  </si>
  <si>
    <t>مجموع سعر مع مصاريف بيع</t>
  </si>
  <si>
    <t>سعر بيع قطعة مع مصاريف</t>
  </si>
  <si>
    <t>قازانجي يةك دانة   %25</t>
  </si>
  <si>
    <t xml:space="preserve">كوي نرخي فروشتن یەک دانە </t>
  </si>
  <si>
    <t>بوختةي قازانجي شمةك</t>
  </si>
  <si>
    <t>کۆی گشتی فرۆشتنەکان</t>
  </si>
  <si>
    <t>ناو</t>
  </si>
  <si>
    <t>راتب  اصاصي</t>
  </si>
  <si>
    <t>مة ترسي</t>
  </si>
  <si>
    <t>كاري زيادة</t>
  </si>
  <si>
    <t>مجموع مخصصات</t>
  </si>
  <si>
    <t>ئامادة نة بوون</t>
  </si>
  <si>
    <t>بيمة ي كومة لاية تي</t>
  </si>
  <si>
    <t>تامين صحي</t>
  </si>
  <si>
    <t>مجموع  استقتاعات</t>
  </si>
  <si>
    <t>راتب مستحق</t>
  </si>
  <si>
    <t>ماسات</t>
  </si>
  <si>
    <t>تيبيني</t>
  </si>
  <si>
    <t>Aland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</si>
</sst>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.00\ &quot;د.ع.‏&quot;_-;\-* #,##0.00\ &quot;د.ع.‏&quot;_-;_-* &quot;-&quot;??\ &quot;د.ع.‏&quot;_-;_-@_-"/>
    <numFmt numFmtId="165" formatCode="yyyy/mm/dd"/>
    <numFmt numFmtId="166" formatCode="_-* #,##0.00\ [$د.ع.‏-801]_-;\-* #,##0.00\ [$د.ع.‏-801]_-;_-* &quot;-&quot;??\ [$د.ع.‏-801]_-;_-@_-"/>
    <numFmt numFmtId="167" formatCode="_-* #,##0\ [$د.ع.‏-801]_-;\-* #,##0\ [$د.ع.‏-801]_-;_-* &quot;-&quot;??\ [$د.ع.‏-801]_-;_-@_-"/>
    <numFmt numFmtId="168" formatCode="_-* #,##0\ [$د.ع.‏-801]_-;\-* #,##0\ [$د.ع.‏-801]_-;_-* &quot;-&quot;?\ [$د.ع.‏-801]_-;_-@_-"/>
    <numFmt numFmtId="169" formatCode="_(* #,##0_);_(* \(#,##0\);_(* &quot;-&quot;??_);_(@_)"/>
    <numFmt numFmtId="170" formatCode="_(&quot;$&quot;* #,##0_);_(&quot;$&quot;* \(#,##0\);_(&quot;$&quot;* &quot;-&quot;??_);_(@_)"/>
    <numFmt numFmtId="171" formatCode="0.000"/>
    <numFmt numFmtId="172" formatCode="_-[$$-409]* #,##0_ ;_-[$$-409]* \-#,##0\ ;_-[$$-409]* &quot;-&quot;??_ ;_-@_ "/>
    <numFmt numFmtId="173" formatCode="_([$$-409]* #,##0.00_);_([$$-409]* \(#,##0.00\);_([$$-409]* &quot;-&quot;??_);_(@_)"/>
  </numFmts>
  <fonts count="1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4"/>
      <color theme="1"/>
      <name val="Ali_K_Samik"/>
      <charset val="178"/>
    </font>
    <font>
      <sz val="16"/>
      <color theme="0"/>
      <name val="Ali_K_Samik"/>
      <charset val="178"/>
    </font>
    <font>
      <sz val="14"/>
      <color theme="0"/>
      <name val="Ali_K_Samik"/>
      <charset val="178"/>
    </font>
    <font>
      <sz val="16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15"/>
      <name val="Calibri"/>
      <family val="2"/>
      <scheme val="minor"/>
    </font>
    <font>
      <b/>
      <sz val="14"/>
      <name val="Calibri"/>
      <family val="2"/>
      <scheme val="minor"/>
    </font>
    <font>
      <b/>
      <sz val="14"/>
      <color rgb="FFFF0000"/>
      <name val="Calibri"/>
      <family val="2"/>
      <scheme val="minor"/>
    </font>
    <font>
      <sz val="16"/>
      <color theme="1"/>
      <name val="AF_Jizan Kurmanji"/>
      <charset val="178"/>
    </font>
    <font>
      <sz val="14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4"/>
      <name val="Calibri"/>
      <family val="2"/>
      <scheme val="minor"/>
    </font>
  </fonts>
  <fills count="19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8" tint="-0.249977111117893"/>
        <bgColor indexed="64"/>
      </patternFill>
    </fill>
  </fills>
  <borders count="17">
    <border>
      <left/>
      <right/>
      <top/>
      <bottom/>
      <diagonal/>
    </border>
    <border>
      <left style="mediumDashDot">
        <color theme="0"/>
      </left>
      <right style="mediumDashDot">
        <color theme="0"/>
      </right>
      <top style="mediumDashDot">
        <color theme="0"/>
      </top>
      <bottom style="mediumDashDot">
        <color theme="0"/>
      </bottom>
      <diagonal/>
    </border>
    <border>
      <left/>
      <right/>
      <top/>
      <bottom style="mediumDashDot">
        <color theme="1"/>
      </bottom>
      <diagonal/>
    </border>
    <border>
      <left style="mediumDashDot">
        <color theme="0"/>
      </left>
      <right style="mediumDashDot">
        <color theme="0"/>
      </right>
      <top style="mediumDashDot">
        <color theme="0"/>
      </top>
      <bottom/>
      <diagonal/>
    </border>
    <border>
      <left/>
      <right style="mediumDashDot">
        <color indexed="64"/>
      </right>
      <top style="mediumDashDot">
        <color indexed="64"/>
      </top>
      <bottom/>
      <diagonal/>
    </border>
    <border>
      <left style="mediumDashDot">
        <color indexed="64"/>
      </left>
      <right style="mediumDashDot">
        <color indexed="64"/>
      </right>
      <top/>
      <bottom/>
      <diagonal/>
    </border>
    <border>
      <left style="mediumDashDot">
        <color theme="1"/>
      </left>
      <right style="mediumDashDot">
        <color theme="1"/>
      </right>
      <top style="mediumDashDot">
        <color theme="1"/>
      </top>
      <bottom/>
      <diagonal/>
    </border>
    <border>
      <left style="mediumDashDot">
        <color theme="1"/>
      </left>
      <right/>
      <top style="mediumDashDot">
        <color theme="1"/>
      </top>
      <bottom/>
      <diagonal/>
    </border>
    <border>
      <left style="dashed">
        <color theme="1"/>
      </left>
      <right style="dashed">
        <color theme="1"/>
      </right>
      <top style="dashed">
        <color theme="1"/>
      </top>
      <bottom style="dashed">
        <color theme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</cellStyleXfs>
  <cellXfs count="85">
    <xf numFmtId="0" fontId="0" fillId="0" borderId="0" xfId="0"/>
    <xf numFmtId="0" fontId="3" fillId="4" borderId="1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  <xf numFmtId="0" fontId="2" fillId="9" borderId="4" xfId="0" applyFont="1" applyFill="1" applyBorder="1" applyAlignment="1">
      <alignment horizontal="center" vertical="center"/>
    </xf>
    <xf numFmtId="0" fontId="2" fillId="8" borderId="5" xfId="0" applyFont="1" applyFill="1" applyBorder="1" applyAlignment="1">
      <alignment horizontal="center" vertical="center"/>
    </xf>
    <xf numFmtId="0" fontId="4" fillId="10" borderId="0" xfId="0" applyFont="1" applyFill="1" applyAlignment="1">
      <alignment horizontal="center" vertical="center"/>
    </xf>
    <xf numFmtId="0" fontId="2" fillId="8" borderId="6" xfId="0" applyFont="1" applyFill="1" applyBorder="1"/>
    <xf numFmtId="0" fontId="4" fillId="11" borderId="6" xfId="0" applyFont="1" applyFill="1" applyBorder="1" applyAlignment="1">
      <alignment horizontal="center" vertical="center"/>
    </xf>
    <xf numFmtId="0" fontId="4" fillId="5" borderId="7" xfId="0" applyFont="1" applyFill="1" applyBorder="1" applyAlignment="1">
      <alignment horizontal="center" vertical="center"/>
    </xf>
    <xf numFmtId="0" fontId="2" fillId="12" borderId="8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7" fillId="9" borderId="10" xfId="0" applyFont="1" applyFill="1" applyBorder="1" applyAlignment="1">
      <alignment horizontal="center" vertical="center"/>
    </xf>
    <xf numFmtId="0" fontId="8" fillId="6" borderId="10" xfId="0" applyFont="1" applyFill="1" applyBorder="1" applyAlignment="1">
      <alignment horizontal="center" vertical="center"/>
    </xf>
    <xf numFmtId="165" fontId="8" fillId="0" borderId="10" xfId="0" applyNumberFormat="1" applyFont="1" applyBorder="1" applyAlignment="1">
      <alignment horizontal="center" vertical="center"/>
    </xf>
    <xf numFmtId="0" fontId="8" fillId="0" borderId="10" xfId="0" applyFont="1" applyBorder="1" applyAlignment="1">
      <alignment horizontal="center" vertical="center"/>
    </xf>
    <xf numFmtId="0" fontId="9" fillId="7" borderId="10" xfId="0" applyFont="1" applyFill="1" applyBorder="1" applyAlignment="1">
      <alignment horizontal="center" vertical="center"/>
    </xf>
    <xf numFmtId="0" fontId="6" fillId="0" borderId="0" xfId="0" applyFont="1"/>
    <xf numFmtId="0" fontId="10" fillId="0" borderId="0" xfId="0" applyFont="1"/>
    <xf numFmtId="14" fontId="10" fillId="0" borderId="0" xfId="0" applyNumberFormat="1" applyFont="1"/>
    <xf numFmtId="0" fontId="0" fillId="0" borderId="0" xfId="0" applyAlignment="1">
      <alignment horizontal="left" vertical="center"/>
    </xf>
    <xf numFmtId="14" fontId="0" fillId="0" borderId="0" xfId="0" applyNumberFormat="1" applyAlignment="1">
      <alignment horizontal="left" vertical="center"/>
    </xf>
    <xf numFmtId="0" fontId="10" fillId="0" borderId="0" xfId="0" applyFont="1" applyAlignment="1">
      <alignment horizontal="right" vertical="center"/>
    </xf>
    <xf numFmtId="0" fontId="4" fillId="4" borderId="1" xfId="0" applyFont="1" applyFill="1" applyBorder="1" applyAlignment="1">
      <alignment horizontal="center" vertical="center"/>
    </xf>
    <xf numFmtId="167" fontId="5" fillId="0" borderId="0" xfId="1" applyNumberFormat="1" applyFont="1"/>
    <xf numFmtId="166" fontId="0" fillId="0" borderId="0" xfId="0" applyNumberFormat="1"/>
    <xf numFmtId="167" fontId="0" fillId="0" borderId="0" xfId="0" applyNumberFormat="1"/>
    <xf numFmtId="168" fontId="0" fillId="0" borderId="0" xfId="0" applyNumberFormat="1"/>
    <xf numFmtId="2" fontId="8" fillId="0" borderId="10" xfId="0" applyNumberFormat="1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/>
    <xf numFmtId="169" fontId="5" fillId="0" borderId="0" xfId="1" applyNumberFormat="1" applyFont="1"/>
    <xf numFmtId="0" fontId="0" fillId="0" borderId="0" xfId="0" applyAlignment="1">
      <alignment horizontal="center"/>
    </xf>
    <xf numFmtId="0" fontId="11" fillId="8" borderId="0" xfId="0" applyFont="1" applyFill="1" applyAlignment="1">
      <alignment horizontal="center"/>
    </xf>
    <xf numFmtId="0" fontId="11" fillId="0" borderId="0" xfId="0" applyFont="1" applyAlignment="1">
      <alignment horizontal="center"/>
    </xf>
    <xf numFmtId="170" fontId="11" fillId="0" borderId="0" xfId="2" applyNumberFormat="1" applyFont="1" applyAlignment="1">
      <alignment horizontal="center"/>
    </xf>
    <xf numFmtId="0" fontId="11" fillId="13" borderId="14" xfId="0" applyFont="1" applyFill="1" applyBorder="1" applyAlignment="1">
      <alignment horizontal="center"/>
    </xf>
    <xf numFmtId="170" fontId="5" fillId="13" borderId="14" xfId="2" applyNumberFormat="1" applyFont="1" applyFill="1" applyBorder="1" applyAlignment="1">
      <alignment horizontal="center"/>
    </xf>
    <xf numFmtId="0" fontId="11" fillId="0" borderId="0" xfId="0" applyFont="1"/>
    <xf numFmtId="0" fontId="11" fillId="14" borderId="0" xfId="0" applyFont="1" applyFill="1"/>
    <xf numFmtId="0" fontId="5" fillId="8" borderId="14" xfId="0" applyFont="1" applyFill="1" applyBorder="1" applyAlignment="1">
      <alignment horizontal="center" vertical="center"/>
    </xf>
    <xf numFmtId="0" fontId="11" fillId="8" borderId="14" xfId="0" applyFont="1" applyFill="1" applyBorder="1" applyAlignment="1">
      <alignment horizontal="center" vertical="center"/>
    </xf>
    <xf numFmtId="0" fontId="11" fillId="0" borderId="14" xfId="0" applyFont="1" applyBorder="1"/>
    <xf numFmtId="0" fontId="11" fillId="0" borderId="14" xfId="0" applyFont="1" applyBorder="1" applyAlignment="1">
      <alignment horizontal="center"/>
    </xf>
    <xf numFmtId="170" fontId="11" fillId="0" borderId="14" xfId="2" applyNumberFormat="1" applyFont="1" applyBorder="1" applyAlignment="1">
      <alignment horizontal="center"/>
    </xf>
    <xf numFmtId="170" fontId="11" fillId="0" borderId="14" xfId="0" applyNumberFormat="1" applyFont="1" applyBorder="1"/>
    <xf numFmtId="44" fontId="11" fillId="14" borderId="14" xfId="0" applyNumberFormat="1" applyFont="1" applyFill="1" applyBorder="1"/>
    <xf numFmtId="170" fontId="11" fillId="14" borderId="14" xfId="0" applyNumberFormat="1" applyFont="1" applyFill="1" applyBorder="1"/>
    <xf numFmtId="0" fontId="11" fillId="8" borderId="14" xfId="0" applyFont="1" applyFill="1" applyBorder="1" applyAlignment="1">
      <alignment horizontal="center"/>
    </xf>
    <xf numFmtId="44" fontId="11" fillId="7" borderId="14" xfId="0" applyNumberFormat="1" applyFont="1" applyFill="1" applyBorder="1"/>
    <xf numFmtId="171" fontId="11" fillId="0" borderId="0" xfId="0" applyNumberFormat="1" applyFont="1"/>
    <xf numFmtId="172" fontId="6" fillId="0" borderId="14" xfId="0" applyNumberFormat="1" applyFont="1" applyBorder="1" applyAlignment="1">
      <alignment horizontal="right" indent="1"/>
    </xf>
    <xf numFmtId="0" fontId="6" fillId="0" borderId="14" xfId="0" applyFont="1" applyBorder="1" applyAlignment="1">
      <alignment horizontal="right" indent="1"/>
    </xf>
    <xf numFmtId="172" fontId="6" fillId="2" borderId="14" xfId="0" applyNumberFormat="1" applyFont="1" applyFill="1" applyBorder="1" applyAlignment="1">
      <alignment horizontal="right" indent="1"/>
    </xf>
    <xf numFmtId="0" fontId="6" fillId="2" borderId="14" xfId="0" applyFont="1" applyFill="1" applyBorder="1" applyAlignment="1">
      <alignment horizontal="right" indent="1"/>
    </xf>
    <xf numFmtId="0" fontId="6" fillId="16" borderId="14" xfId="0" applyFont="1" applyFill="1" applyBorder="1" applyAlignment="1">
      <alignment horizontal="center" vertical="center"/>
    </xf>
    <xf numFmtId="0" fontId="6" fillId="8" borderId="14" xfId="0" applyFont="1" applyFill="1" applyBorder="1" applyAlignment="1">
      <alignment horizontal="center" vertical="center"/>
    </xf>
    <xf numFmtId="0" fontId="6" fillId="16" borderId="14" xfId="0" applyFont="1" applyFill="1" applyBorder="1" applyAlignment="1">
      <alignment horizontal="center" vertical="center" wrapText="1"/>
    </xf>
    <xf numFmtId="0" fontId="6" fillId="0" borderId="14" xfId="0" applyFont="1" applyBorder="1" applyAlignment="1">
      <alignment horizontal="center" vertical="center" wrapText="1"/>
    </xf>
    <xf numFmtId="44" fontId="6" fillId="0" borderId="0" xfId="0" applyNumberFormat="1" applyFont="1"/>
    <xf numFmtId="164" fontId="6" fillId="0" borderId="0" xfId="2" applyFont="1"/>
    <xf numFmtId="170" fontId="6" fillId="0" borderId="0" xfId="0" applyNumberFormat="1" applyFont="1"/>
    <xf numFmtId="0" fontId="6" fillId="8" borderId="14" xfId="0" applyFont="1" applyFill="1" applyBorder="1" applyAlignment="1">
      <alignment horizontal="center"/>
    </xf>
    <xf numFmtId="173" fontId="12" fillId="0" borderId="0" xfId="0" applyNumberFormat="1" applyFont="1"/>
    <xf numFmtId="0" fontId="13" fillId="17" borderId="14" xfId="0" applyFont="1" applyFill="1" applyBorder="1"/>
    <xf numFmtId="0" fontId="14" fillId="18" borderId="14" xfId="0" applyFont="1" applyFill="1" applyBorder="1"/>
    <xf numFmtId="0" fontId="14" fillId="18" borderId="14" xfId="0" applyFont="1" applyFill="1" applyBorder="1" applyAlignment="1">
      <alignment horizontal="center"/>
    </xf>
    <xf numFmtId="0" fontId="3" fillId="4" borderId="0" xfId="0" applyFont="1" applyFill="1" applyAlignment="1">
      <alignment horizontal="center" vertical="center"/>
    </xf>
    <xf numFmtId="3" fontId="13" fillId="17" borderId="14" xfId="0" applyNumberFormat="1" applyFont="1" applyFill="1" applyBorder="1"/>
    <xf numFmtId="166" fontId="13" fillId="17" borderId="14" xfId="0" applyNumberFormat="1" applyFont="1" applyFill="1" applyBorder="1"/>
    <xf numFmtId="9" fontId="14" fillId="18" borderId="14" xfId="0" applyNumberFormat="1" applyFont="1" applyFill="1" applyBorder="1"/>
    <xf numFmtId="0" fontId="0" fillId="18" borderId="0" xfId="0" applyFill="1"/>
    <xf numFmtId="0" fontId="11" fillId="0" borderId="15" xfId="0" applyFont="1" applyBorder="1" applyAlignment="1">
      <alignment horizontal="center"/>
    </xf>
    <xf numFmtId="0" fontId="11" fillId="0" borderId="16" xfId="0" applyFont="1" applyBorder="1" applyAlignment="1">
      <alignment horizontal="center"/>
    </xf>
    <xf numFmtId="0" fontId="6" fillId="15" borderId="14" xfId="0" applyFont="1" applyFill="1" applyBorder="1" applyAlignment="1">
      <alignment horizontal="right" indent="2"/>
    </xf>
    <xf numFmtId="0" fontId="6" fillId="8" borderId="0" xfId="0" applyFont="1" applyFill="1" applyAlignment="1">
      <alignment horizontal="center"/>
    </xf>
    <xf numFmtId="0" fontId="2" fillId="8" borderId="1" xfId="0" applyFont="1" applyFill="1" applyBorder="1" applyAlignment="1">
      <alignment horizontal="center"/>
    </xf>
    <xf numFmtId="0" fontId="2" fillId="8" borderId="2" xfId="0" applyFont="1" applyFill="1" applyBorder="1" applyAlignment="1">
      <alignment horizontal="center"/>
    </xf>
    <xf numFmtId="0" fontId="6" fillId="2" borderId="0" xfId="0" applyFont="1" applyFill="1" applyAlignment="1">
      <alignment horizontal="center"/>
    </xf>
    <xf numFmtId="0" fontId="14" fillId="18" borderId="14" xfId="0" applyFont="1" applyFill="1" applyBorder="1" applyAlignment="1">
      <alignment horizontal="center"/>
    </xf>
    <xf numFmtId="0" fontId="8" fillId="6" borderId="12" xfId="0" applyFont="1" applyFill="1" applyBorder="1" applyAlignment="1">
      <alignment horizontal="center" vertical="center"/>
    </xf>
    <xf numFmtId="0" fontId="8" fillId="6" borderId="13" xfId="0" applyFont="1" applyFill="1" applyBorder="1" applyAlignment="1">
      <alignment horizontal="center" vertical="center"/>
    </xf>
    <xf numFmtId="0" fontId="7" fillId="6" borderId="9" xfId="0" applyFont="1" applyFill="1" applyBorder="1" applyAlignment="1">
      <alignment horizontal="center" vertical="center"/>
    </xf>
    <xf numFmtId="0" fontId="7" fillId="6" borderId="11" xfId="0" applyFont="1" applyFill="1" applyBorder="1" applyAlignment="1">
      <alignment horizontal="center" vertical="center"/>
    </xf>
    <xf numFmtId="0" fontId="7" fillId="6" borderId="10" xfId="0" applyFont="1" applyFill="1" applyBorder="1" applyAlignment="1">
      <alignment horizontal="center" vertical="center"/>
    </xf>
  </cellXfs>
  <cellStyles count="3">
    <cellStyle name="Comma" xfId="1" builtinId="3"/>
    <cellStyle name="Currency" xfId="2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hyperlink" Target="#'&#1603;&#1608;&#1583; &#1575;&#1604;&#1605;&#1608;&#1592;&#1601;'!A1"/><Relationship Id="rId2" Type="http://schemas.openxmlformats.org/officeDocument/2006/relationships/hyperlink" Target="#'&#1585;&#1608;&#1575;&#1578;&#1576; &#1575;&#1604;&#1605;&#1608;&#1592;&#1601;&#1610;&#1606;'!A1"/><Relationship Id="rId1" Type="http://schemas.openxmlformats.org/officeDocument/2006/relationships/hyperlink" Target="#'&#1575;&#1587;&#1605; &#1575;&#1604;&#1605;&#1608;&#1592;&#1601;'!A1"/><Relationship Id="rId4" Type="http://schemas.openxmlformats.org/officeDocument/2006/relationships/hyperlink" Target="#'&#1587;&#1604;&#1601; &#1575;&#1604;&#1605;&#1608;&#1592;&#1601;&#1610;&#1606;'!A1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hyperlink" Target="#HOME!A1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hyperlink" Target="#HOME!A1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hyperlink" Target="#HOME!A1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hyperlink" Target="#HOME!A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590550</xdr:colOff>
      <xdr:row>5</xdr:row>
      <xdr:rowOff>123825</xdr:rowOff>
    </xdr:from>
    <xdr:to>
      <xdr:col>5</xdr:col>
      <xdr:colOff>552450</xdr:colOff>
      <xdr:row>9</xdr:row>
      <xdr:rowOff>0</xdr:rowOff>
    </xdr:to>
    <xdr:sp macro="" textlink="">
      <xdr:nvSpPr>
        <xdr:cNvPr id="2" name="Rounded Rectangl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9984085950" y="1076325"/>
          <a:ext cx="1790700" cy="638175"/>
        </a:xfrm>
        <a:prstGeom prst="roundRect">
          <a:avLst/>
        </a:prstGeom>
        <a:ln>
          <a:noFill/>
        </a:ln>
        <a:effectLst>
          <a:outerShdw blurRad="190500" dist="228600" dir="2700000" algn="ctr">
            <a:srgbClr val="000000">
              <a:alpha val="30000"/>
            </a:srgbClr>
          </a:outerShdw>
        </a:effectLst>
        <a:scene3d>
          <a:camera prst="orthographicFront">
            <a:rot lat="0" lon="0" rev="0"/>
          </a:camera>
          <a:lightRig rig="glow" dir="t">
            <a:rot lat="0" lon="0" rev="4800000"/>
          </a:lightRig>
        </a:scene3d>
        <a:sp3d prstMaterial="matte">
          <a:bevelT w="127000" h="63500"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 rtl="1"/>
          <a:r>
            <a:rPr lang="ar-IQ" sz="2800">
              <a:cs typeface="Ali-A-Samik" pitchFamily="2" charset="-78"/>
            </a:rPr>
            <a:t>اسم</a:t>
          </a:r>
          <a:r>
            <a:rPr lang="ar-IQ" sz="2800" baseline="0">
              <a:cs typeface="Ali-A-Samik" pitchFamily="2" charset="-78"/>
            </a:rPr>
            <a:t> الموظف</a:t>
          </a:r>
          <a:endParaRPr lang="en-US" sz="2800">
            <a:cs typeface="Ali-A-Samik" pitchFamily="2" charset="-78"/>
          </a:endParaRPr>
        </a:p>
      </xdr:txBody>
    </xdr:sp>
    <xdr:clientData/>
  </xdr:twoCellAnchor>
  <xdr:twoCellAnchor>
    <xdr:from>
      <xdr:col>7</xdr:col>
      <xdr:colOff>76200</xdr:colOff>
      <xdr:row>5</xdr:row>
      <xdr:rowOff>123825</xdr:rowOff>
    </xdr:from>
    <xdr:to>
      <xdr:col>10</xdr:col>
      <xdr:colOff>38100</xdr:colOff>
      <xdr:row>9</xdr:row>
      <xdr:rowOff>0</xdr:rowOff>
    </xdr:to>
    <xdr:sp macro="" textlink="">
      <xdr:nvSpPr>
        <xdr:cNvPr id="3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9981552300" y="1076325"/>
          <a:ext cx="1790700" cy="638175"/>
        </a:xfrm>
        <a:prstGeom prst="roundRect">
          <a:avLst/>
        </a:prstGeom>
        <a:ln>
          <a:noFill/>
        </a:ln>
        <a:effectLst>
          <a:outerShdw blurRad="190500" dist="228600" dir="2700000" algn="ctr">
            <a:srgbClr val="000000">
              <a:alpha val="30000"/>
            </a:srgbClr>
          </a:outerShdw>
        </a:effectLst>
        <a:scene3d>
          <a:camera prst="orthographicFront">
            <a:rot lat="0" lon="0" rev="0"/>
          </a:camera>
          <a:lightRig rig="glow" dir="t">
            <a:rot lat="0" lon="0" rev="4800000"/>
          </a:lightRig>
        </a:scene3d>
        <a:sp3d prstMaterial="matte">
          <a:bevelT w="127000" h="63500"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 rtl="1"/>
          <a:r>
            <a:rPr lang="ar-IQ" sz="2800">
              <a:cs typeface="Ali-A-Samik" pitchFamily="2" charset="-78"/>
            </a:rPr>
            <a:t>رواتب الموظف</a:t>
          </a:r>
          <a:endParaRPr lang="en-US" sz="2800">
            <a:cs typeface="Ali-A-Samik" pitchFamily="2" charset="-78"/>
          </a:endParaRPr>
        </a:p>
      </xdr:txBody>
    </xdr:sp>
    <xdr:clientData/>
  </xdr:twoCellAnchor>
  <xdr:twoCellAnchor>
    <xdr:from>
      <xdr:col>2</xdr:col>
      <xdr:colOff>533400</xdr:colOff>
      <xdr:row>11</xdr:row>
      <xdr:rowOff>66675</xdr:rowOff>
    </xdr:from>
    <xdr:to>
      <xdr:col>5</xdr:col>
      <xdr:colOff>495300</xdr:colOff>
      <xdr:row>14</xdr:row>
      <xdr:rowOff>133350</xdr:rowOff>
    </xdr:to>
    <xdr:sp macro="" textlink="">
      <xdr:nvSpPr>
        <xdr:cNvPr id="4" name="Rounded Rectangle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/>
      </xdr:nvSpPr>
      <xdr:spPr>
        <a:xfrm>
          <a:off x="9984143100" y="2162175"/>
          <a:ext cx="1790700" cy="638175"/>
        </a:xfrm>
        <a:prstGeom prst="roundRect">
          <a:avLst/>
        </a:prstGeom>
        <a:ln>
          <a:noFill/>
        </a:ln>
        <a:effectLst>
          <a:outerShdw blurRad="190500" dist="228600" dir="2700000" algn="ctr">
            <a:srgbClr val="000000">
              <a:alpha val="30000"/>
            </a:srgbClr>
          </a:outerShdw>
        </a:effectLst>
        <a:scene3d>
          <a:camera prst="orthographicFront">
            <a:rot lat="0" lon="0" rev="0"/>
          </a:camera>
          <a:lightRig rig="glow" dir="t">
            <a:rot lat="0" lon="0" rev="4800000"/>
          </a:lightRig>
        </a:scene3d>
        <a:sp3d prstMaterial="matte">
          <a:bevelT w="127000" h="63500"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 rtl="1"/>
          <a:r>
            <a:rPr lang="ar-IQ" sz="2800">
              <a:cs typeface="Ali-A-Samik" pitchFamily="2" charset="-78"/>
            </a:rPr>
            <a:t>كود الموظف</a:t>
          </a:r>
          <a:endParaRPr lang="en-US" sz="2800">
            <a:cs typeface="Ali-A-Samik" pitchFamily="2" charset="-78"/>
          </a:endParaRPr>
        </a:p>
      </xdr:txBody>
    </xdr:sp>
    <xdr:clientData/>
  </xdr:twoCellAnchor>
  <xdr:twoCellAnchor>
    <xdr:from>
      <xdr:col>6</xdr:col>
      <xdr:colOff>581025</xdr:colOff>
      <xdr:row>11</xdr:row>
      <xdr:rowOff>28575</xdr:rowOff>
    </xdr:from>
    <xdr:to>
      <xdr:col>9</xdr:col>
      <xdr:colOff>542925</xdr:colOff>
      <xdr:row>14</xdr:row>
      <xdr:rowOff>95250</xdr:rowOff>
    </xdr:to>
    <xdr:sp macro="" textlink="">
      <xdr:nvSpPr>
        <xdr:cNvPr id="5" name="Rounded Rectangle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/>
      </xdr:nvSpPr>
      <xdr:spPr>
        <a:xfrm>
          <a:off x="9981657075" y="2124075"/>
          <a:ext cx="1790700" cy="638175"/>
        </a:xfrm>
        <a:prstGeom prst="roundRect">
          <a:avLst/>
        </a:prstGeom>
        <a:ln>
          <a:noFill/>
        </a:ln>
        <a:effectLst>
          <a:outerShdw blurRad="190500" dist="228600" dir="2700000" algn="ctr">
            <a:srgbClr val="000000">
              <a:alpha val="30000"/>
            </a:srgbClr>
          </a:outerShdw>
        </a:effectLst>
        <a:scene3d>
          <a:camera prst="orthographicFront">
            <a:rot lat="0" lon="0" rev="0"/>
          </a:camera>
          <a:lightRig rig="glow" dir="t">
            <a:rot lat="0" lon="0" rev="4800000"/>
          </a:lightRig>
        </a:scene3d>
        <a:sp3d prstMaterial="matte">
          <a:bevelT w="127000" h="63500"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 rtl="1"/>
          <a:r>
            <a:rPr lang="ar-IQ" sz="2800">
              <a:cs typeface="Ali-A-Samik" pitchFamily="2" charset="-78"/>
            </a:rPr>
            <a:t>سلف الموظف</a:t>
          </a:r>
          <a:endParaRPr lang="en-US" sz="2800">
            <a:cs typeface="Ali-A-Samik" pitchFamily="2" charset="-78"/>
          </a:endParaRPr>
        </a:p>
      </xdr:txBody>
    </xdr:sp>
    <xdr:clientData/>
  </xdr:twoCellAnchor>
  <xdr:twoCellAnchor>
    <xdr:from>
      <xdr:col>4</xdr:col>
      <xdr:colOff>161924</xdr:colOff>
      <xdr:row>17</xdr:row>
      <xdr:rowOff>0</xdr:rowOff>
    </xdr:from>
    <xdr:to>
      <xdr:col>8</xdr:col>
      <xdr:colOff>409574</xdr:colOff>
      <xdr:row>20</xdr:row>
      <xdr:rowOff>66675</xdr:rowOff>
    </xdr:to>
    <xdr:sp macro="" textlink="">
      <xdr:nvSpPr>
        <xdr:cNvPr id="6" name="Rounded Rectangle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/>
      </xdr:nvSpPr>
      <xdr:spPr>
        <a:xfrm>
          <a:off x="9982400026" y="3238500"/>
          <a:ext cx="2686050" cy="638175"/>
        </a:xfrm>
        <a:prstGeom prst="roundRect">
          <a:avLst/>
        </a:prstGeom>
        <a:ln>
          <a:noFill/>
        </a:ln>
        <a:effectLst>
          <a:outerShdw blurRad="190500" dist="228600" dir="2700000" algn="ctr">
            <a:srgbClr val="000000">
              <a:alpha val="30000"/>
            </a:srgbClr>
          </a:outerShdw>
        </a:effectLst>
        <a:scene3d>
          <a:camera prst="orthographicFront">
            <a:rot lat="0" lon="0" rev="0"/>
          </a:camera>
          <a:lightRig rig="glow" dir="t">
            <a:rot lat="0" lon="0" rev="4800000"/>
          </a:lightRig>
        </a:scene3d>
        <a:sp3d prstMaterial="matte">
          <a:bevelT w="127000" h="63500"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 rtl="1"/>
          <a:r>
            <a:rPr lang="ar-IQ" sz="2800">
              <a:cs typeface="Ali-A-Samik" pitchFamily="2" charset="-78"/>
            </a:rPr>
            <a:t>حضور و غياب الموظف</a:t>
          </a:r>
          <a:endParaRPr lang="en-US" sz="2800">
            <a:cs typeface="Ali-A-Samik" pitchFamily="2" charset="-78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495300</xdr:colOff>
      <xdr:row>1</xdr:row>
      <xdr:rowOff>184150</xdr:rowOff>
    </xdr:from>
    <xdr:to>
      <xdr:col>2</xdr:col>
      <xdr:colOff>209550</xdr:colOff>
      <xdr:row>4</xdr:row>
      <xdr:rowOff>53975</xdr:rowOff>
    </xdr:to>
    <xdr:sp macro="" textlink="">
      <xdr:nvSpPr>
        <xdr:cNvPr id="2" name="Rounded Rectangl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SpPr/>
      </xdr:nvSpPr>
      <xdr:spPr>
        <a:xfrm>
          <a:off x="9987508600" y="374650"/>
          <a:ext cx="1047750" cy="542925"/>
        </a:xfrm>
        <a:prstGeom prst="roundRect">
          <a:avLst/>
        </a:prstGeom>
        <a:ln>
          <a:noFill/>
        </a:ln>
        <a:effectLst>
          <a:outerShdw blurRad="190500" dist="228600" dir="2700000" algn="ctr">
            <a:srgbClr val="000000">
              <a:alpha val="30000"/>
            </a:srgbClr>
          </a:outerShdw>
        </a:effectLst>
        <a:scene3d>
          <a:camera prst="orthographicFront">
            <a:rot lat="0" lon="0" rev="0"/>
          </a:camera>
          <a:lightRig rig="glow" dir="t">
            <a:rot lat="0" lon="0" rev="4800000"/>
          </a:lightRig>
        </a:scene3d>
        <a:sp3d prstMaterial="matte">
          <a:bevelT w="127000" h="63500"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r" rtl="1"/>
          <a:r>
            <a:rPr lang="en-US" sz="2400"/>
            <a:t>HOME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</xdr:colOff>
      <xdr:row>0</xdr:row>
      <xdr:rowOff>180975</xdr:rowOff>
    </xdr:from>
    <xdr:to>
      <xdr:col>6</xdr:col>
      <xdr:colOff>95250</xdr:colOff>
      <xdr:row>3</xdr:row>
      <xdr:rowOff>152400</xdr:rowOff>
    </xdr:to>
    <xdr:sp macro="" textlink="">
      <xdr:nvSpPr>
        <xdr:cNvPr id="2" name="Rounded Rectangl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SpPr/>
      </xdr:nvSpPr>
      <xdr:spPr>
        <a:xfrm>
          <a:off x="9987076800" y="180975"/>
          <a:ext cx="1047750" cy="542925"/>
        </a:xfrm>
        <a:prstGeom prst="roundRect">
          <a:avLst/>
        </a:prstGeom>
        <a:ln>
          <a:noFill/>
        </a:ln>
        <a:effectLst>
          <a:outerShdw blurRad="190500" dist="228600" dir="2700000" algn="ctr">
            <a:srgbClr val="000000">
              <a:alpha val="30000"/>
            </a:srgbClr>
          </a:outerShdw>
        </a:effectLst>
        <a:scene3d>
          <a:camera prst="orthographicFront">
            <a:rot lat="0" lon="0" rev="0"/>
          </a:camera>
          <a:lightRig rig="glow" dir="t">
            <a:rot lat="0" lon="0" rev="4800000"/>
          </a:lightRig>
        </a:scene3d>
        <a:sp3d prstMaterial="matte">
          <a:bevelT w="127000" h="63500"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r" rtl="1"/>
          <a:r>
            <a:rPr lang="en-US" sz="2400"/>
            <a:t>HOME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19050</xdr:colOff>
      <xdr:row>0</xdr:row>
      <xdr:rowOff>123825</xdr:rowOff>
    </xdr:from>
    <xdr:to>
      <xdr:col>8</xdr:col>
      <xdr:colOff>1066800</xdr:colOff>
      <xdr:row>3</xdr:row>
      <xdr:rowOff>95250</xdr:rowOff>
    </xdr:to>
    <xdr:sp macro="" textlink="">
      <xdr:nvSpPr>
        <xdr:cNvPr id="2" name="Rounded Rectangl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SpPr/>
      </xdr:nvSpPr>
      <xdr:spPr>
        <a:xfrm>
          <a:off x="9985086075" y="123825"/>
          <a:ext cx="1047750" cy="542925"/>
        </a:xfrm>
        <a:prstGeom prst="roundRect">
          <a:avLst/>
        </a:prstGeom>
        <a:ln>
          <a:noFill/>
        </a:ln>
        <a:effectLst>
          <a:outerShdw blurRad="190500" dist="228600" dir="2700000" algn="ctr">
            <a:srgbClr val="000000">
              <a:alpha val="30000"/>
            </a:srgbClr>
          </a:outerShdw>
        </a:effectLst>
        <a:scene3d>
          <a:camera prst="orthographicFront">
            <a:rot lat="0" lon="0" rev="0"/>
          </a:camera>
          <a:lightRig rig="glow" dir="t">
            <a:rot lat="0" lon="0" rev="4800000"/>
          </a:lightRig>
        </a:scene3d>
        <a:sp3d prstMaterial="matte">
          <a:bevelT w="127000" h="63500"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r" rtl="1"/>
          <a:r>
            <a:rPr lang="en-US" sz="2400"/>
            <a:t>HOME</a:t>
          </a: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590550</xdr:colOff>
      <xdr:row>0</xdr:row>
      <xdr:rowOff>142875</xdr:rowOff>
    </xdr:from>
    <xdr:to>
      <xdr:col>4</xdr:col>
      <xdr:colOff>1028700</xdr:colOff>
      <xdr:row>3</xdr:row>
      <xdr:rowOff>114300</xdr:rowOff>
    </xdr:to>
    <xdr:sp macro="" textlink="">
      <xdr:nvSpPr>
        <xdr:cNvPr id="2" name="Rounded Rectangl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SpPr/>
      </xdr:nvSpPr>
      <xdr:spPr>
        <a:xfrm>
          <a:off x="9985638525" y="142875"/>
          <a:ext cx="1047750" cy="542925"/>
        </a:xfrm>
        <a:prstGeom prst="roundRect">
          <a:avLst/>
        </a:prstGeom>
        <a:ln>
          <a:noFill/>
        </a:ln>
        <a:effectLst>
          <a:outerShdw blurRad="190500" dist="228600" dir="2700000" algn="ctr">
            <a:srgbClr val="000000">
              <a:alpha val="30000"/>
            </a:srgbClr>
          </a:outerShdw>
        </a:effectLst>
        <a:scene3d>
          <a:camera prst="orthographicFront">
            <a:rot lat="0" lon="0" rev="0"/>
          </a:camera>
          <a:lightRig rig="glow" dir="t">
            <a:rot lat="0" lon="0" rev="4800000"/>
          </a:lightRig>
        </a:scene3d>
        <a:sp3d prstMaterial="matte">
          <a:bevelT w="127000" h="63500"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r" rtl="1"/>
          <a:r>
            <a:rPr lang="en-US" sz="2400"/>
            <a:t>HOME</a:t>
          </a: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DELL/Desktop/&#1575;&#1583;&#1575;&#1585;&#1577;%202&#1575;&#1604;&#1605;&#1588;&#1578;&#1585;&#1610;&#1575;&#1578;%20-%202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ادارة مشتريات"/>
      <sheetName val="ادارة المبيعات"/>
    </sheetNames>
    <sheetDataSet>
      <sheetData sheetId="0">
        <row r="18">
          <cell r="A18" t="str">
            <v>كوي كشتي</v>
          </cell>
        </row>
      </sheetData>
      <sheetData sheetId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eg"/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2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rightToLeft="1" zoomScale="80" zoomScaleNormal="80" workbookViewId="0"/>
  </sheetViews>
  <sheetFormatPr defaultRowHeight="15"/>
  <sheetData/>
  <pageMargins left="0.7" right="0.7" top="0.75" bottom="0.75" header="0.3" footer="0.3"/>
  <drawing r:id="rId1"/>
  <picture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0"/>
  <sheetViews>
    <sheetView rightToLeft="1" topLeftCell="A5" workbookViewId="0">
      <selection activeCell="I19" sqref="I19"/>
    </sheetView>
  </sheetViews>
  <sheetFormatPr defaultRowHeight="15"/>
  <cols>
    <col min="2" max="2" width="16.28515625" customWidth="1"/>
    <col min="4" max="4" width="29.5703125" customWidth="1"/>
    <col min="5" max="5" width="27.28515625" customWidth="1"/>
    <col min="7" max="7" width="20" bestFit="1" customWidth="1"/>
    <col min="8" max="8" width="13.140625" bestFit="1" customWidth="1"/>
    <col min="9" max="9" width="21.42578125" bestFit="1" customWidth="1"/>
    <col min="10" max="10" width="14.5703125" bestFit="1" customWidth="1"/>
    <col min="11" max="11" width="16.85546875" bestFit="1" customWidth="1"/>
    <col min="12" max="12" width="17.140625" bestFit="1" customWidth="1"/>
  </cols>
  <sheetData>
    <row r="1" spans="1:12" ht="18.75">
      <c r="A1" s="32"/>
      <c r="D1" s="33" t="s">
        <v>46</v>
      </c>
      <c r="E1" s="33" t="s">
        <v>47</v>
      </c>
    </row>
    <row r="2" spans="1:12" ht="18.75">
      <c r="D2" s="34" t="s">
        <v>48</v>
      </c>
      <c r="E2" s="35">
        <v>1000</v>
      </c>
    </row>
    <row r="3" spans="1:12" ht="18.75">
      <c r="D3" s="34" t="s">
        <v>49</v>
      </c>
      <c r="E3" s="35">
        <v>500</v>
      </c>
      <c r="F3" s="32"/>
    </row>
    <row r="4" spans="1:12" ht="18.75">
      <c r="D4" s="34" t="s">
        <v>50</v>
      </c>
      <c r="E4" s="35">
        <v>1000</v>
      </c>
    </row>
    <row r="5" spans="1:12" ht="18.75">
      <c r="D5" s="34" t="s">
        <v>51</v>
      </c>
      <c r="E5" s="35">
        <v>200</v>
      </c>
    </row>
    <row r="6" spans="1:12" ht="21">
      <c r="D6" s="36" t="s">
        <v>52</v>
      </c>
      <c r="E6" s="37">
        <f>SUM(E2:E5)</f>
        <v>2700</v>
      </c>
    </row>
    <row r="9" spans="1:12" ht="18.75">
      <c r="A9" s="38"/>
      <c r="B9" s="38"/>
      <c r="C9" s="38"/>
      <c r="D9" s="39"/>
      <c r="E9" s="39"/>
      <c r="F9" s="39"/>
      <c r="G9" s="38"/>
      <c r="H9" s="38"/>
      <c r="I9" s="38"/>
      <c r="J9" s="38"/>
      <c r="K9" s="38"/>
    </row>
    <row r="10" spans="1:12" ht="21">
      <c r="A10" s="40" t="s">
        <v>53</v>
      </c>
      <c r="B10" s="40" t="s">
        <v>54</v>
      </c>
      <c r="C10" s="40" t="s">
        <v>55</v>
      </c>
      <c r="D10" s="40" t="s">
        <v>56</v>
      </c>
      <c r="E10" s="40" t="s">
        <v>57</v>
      </c>
      <c r="F10" s="40" t="s">
        <v>58</v>
      </c>
      <c r="G10" s="40" t="s">
        <v>59</v>
      </c>
      <c r="H10" s="40" t="s">
        <v>60</v>
      </c>
      <c r="I10" s="41" t="s">
        <v>61</v>
      </c>
      <c r="J10" s="41" t="s">
        <v>62</v>
      </c>
      <c r="K10" s="41" t="s">
        <v>63</v>
      </c>
      <c r="L10" s="41" t="s">
        <v>64</v>
      </c>
    </row>
    <row r="11" spans="1:12" ht="18.75">
      <c r="A11" s="42">
        <v>1</v>
      </c>
      <c r="B11" s="43" t="s">
        <v>65</v>
      </c>
      <c r="C11" s="43">
        <v>1000</v>
      </c>
      <c r="D11" s="43">
        <v>50</v>
      </c>
      <c r="E11" s="43"/>
      <c r="F11" s="44">
        <v>10</v>
      </c>
      <c r="G11" s="45"/>
      <c r="H11" s="46"/>
      <c r="I11" s="47"/>
      <c r="J11" s="46"/>
      <c r="K11" s="46"/>
      <c r="L11" s="46"/>
    </row>
    <row r="12" spans="1:12" ht="18.75">
      <c r="A12" s="42">
        <v>2</v>
      </c>
      <c r="B12" s="43" t="s">
        <v>66</v>
      </c>
      <c r="C12" s="43">
        <v>1000</v>
      </c>
      <c r="D12" s="43">
        <v>40</v>
      </c>
      <c r="E12" s="43"/>
      <c r="F12" s="44">
        <v>20</v>
      </c>
      <c r="G12" s="45"/>
      <c r="H12" s="46"/>
      <c r="I12" s="47"/>
      <c r="J12" s="46"/>
      <c r="K12" s="46"/>
      <c r="L12" s="46"/>
    </row>
    <row r="13" spans="1:12" ht="18.75">
      <c r="A13" s="42">
        <v>3</v>
      </c>
      <c r="B13" s="43" t="s">
        <v>67</v>
      </c>
      <c r="C13" s="43">
        <v>500</v>
      </c>
      <c r="D13" s="43">
        <v>40</v>
      </c>
      <c r="E13" s="43"/>
      <c r="F13" s="44">
        <v>10</v>
      </c>
      <c r="G13" s="45"/>
      <c r="H13" s="46"/>
      <c r="I13" s="47"/>
      <c r="J13" s="46"/>
      <c r="K13" s="46"/>
      <c r="L13" s="46"/>
    </row>
    <row r="14" spans="1:12" ht="18.75">
      <c r="A14" s="42">
        <v>4</v>
      </c>
      <c r="B14" s="43" t="s">
        <v>68</v>
      </c>
      <c r="C14" s="43">
        <v>500</v>
      </c>
      <c r="D14" s="43">
        <v>200</v>
      </c>
      <c r="E14" s="43"/>
      <c r="F14" s="44">
        <v>10</v>
      </c>
      <c r="G14" s="45"/>
      <c r="H14" s="46"/>
      <c r="I14" s="47"/>
      <c r="J14" s="46"/>
      <c r="K14" s="46"/>
      <c r="L14" s="46"/>
    </row>
    <row r="15" spans="1:12" ht="18.75">
      <c r="A15" s="42">
        <v>5</v>
      </c>
      <c r="B15" s="43" t="s">
        <v>69</v>
      </c>
      <c r="C15" s="43">
        <v>1000</v>
      </c>
      <c r="D15" s="43">
        <v>20</v>
      </c>
      <c r="E15" s="43"/>
      <c r="F15" s="44">
        <v>20</v>
      </c>
      <c r="G15" s="45"/>
      <c r="H15" s="46"/>
      <c r="I15" s="47"/>
      <c r="J15" s="46"/>
      <c r="K15" s="46"/>
      <c r="L15" s="46"/>
    </row>
    <row r="16" spans="1:12" ht="18.75">
      <c r="A16" s="42">
        <v>6</v>
      </c>
      <c r="B16" s="43" t="s">
        <v>70</v>
      </c>
      <c r="C16" s="43">
        <v>500</v>
      </c>
      <c r="D16" s="43">
        <v>2</v>
      </c>
      <c r="E16" s="43"/>
      <c r="F16" s="44">
        <v>10</v>
      </c>
      <c r="G16" s="45"/>
      <c r="H16" s="46"/>
      <c r="I16" s="47"/>
      <c r="J16" s="46"/>
      <c r="K16" s="46"/>
      <c r="L16" s="46"/>
    </row>
    <row r="17" spans="1:12" ht="18.75">
      <c r="A17" s="42">
        <v>7</v>
      </c>
      <c r="B17" s="43" t="s">
        <v>71</v>
      </c>
      <c r="C17" s="43">
        <v>500</v>
      </c>
      <c r="D17" s="43">
        <v>6</v>
      </c>
      <c r="E17" s="43"/>
      <c r="F17" s="44">
        <v>15</v>
      </c>
      <c r="G17" s="45"/>
      <c r="H17" s="46"/>
      <c r="I17" s="47"/>
      <c r="J17" s="46"/>
      <c r="K17" s="46"/>
      <c r="L17" s="46"/>
    </row>
    <row r="18" spans="1:12" ht="18.75">
      <c r="A18" s="72" t="s">
        <v>72</v>
      </c>
      <c r="B18" s="73"/>
      <c r="C18" s="48">
        <f>SUM(C11:C17)</f>
        <v>5000</v>
      </c>
      <c r="D18" s="48">
        <f t="shared" ref="D18:L18" si="0">SUM(D11:D17)</f>
        <v>358</v>
      </c>
      <c r="E18" s="48">
        <f t="shared" si="0"/>
        <v>0</v>
      </c>
      <c r="F18" s="48">
        <f t="shared" si="0"/>
        <v>95</v>
      </c>
      <c r="G18" s="48">
        <f t="shared" si="0"/>
        <v>0</v>
      </c>
      <c r="H18" s="48">
        <f t="shared" si="0"/>
        <v>0</v>
      </c>
      <c r="I18" s="48">
        <f t="shared" si="0"/>
        <v>0</v>
      </c>
      <c r="J18" s="49">
        <f t="shared" ref="J18" si="1">I18*$I$19</f>
        <v>0</v>
      </c>
      <c r="K18" s="48">
        <f t="shared" si="0"/>
        <v>0</v>
      </c>
      <c r="L18" s="48">
        <f t="shared" si="0"/>
        <v>0</v>
      </c>
    </row>
    <row r="19" spans="1:12" ht="18.75">
      <c r="A19" s="38"/>
      <c r="B19" s="34"/>
      <c r="C19" s="34"/>
      <c r="D19" s="34"/>
      <c r="E19" s="34"/>
      <c r="H19" s="38"/>
      <c r="I19" s="50"/>
      <c r="J19" s="38"/>
      <c r="K19" s="38"/>
      <c r="L19" s="46"/>
    </row>
    <row r="20" spans="1:12" ht="18.75">
      <c r="A20" s="38"/>
      <c r="B20" s="34"/>
      <c r="C20" s="34"/>
      <c r="D20" s="34"/>
      <c r="E20" s="34"/>
      <c r="F20" s="34"/>
      <c r="G20" s="38"/>
      <c r="H20" s="38"/>
      <c r="I20" s="38"/>
      <c r="J20" s="38"/>
      <c r="K20" s="38"/>
    </row>
  </sheetData>
  <mergeCells count="1">
    <mergeCell ref="A18:B18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3:L20"/>
  <sheetViews>
    <sheetView rightToLeft="1" topLeftCell="A10" workbookViewId="0">
      <selection activeCell="D16" sqref="D16"/>
    </sheetView>
  </sheetViews>
  <sheetFormatPr defaultRowHeight="15"/>
  <cols>
    <col min="1" max="1" width="5.7109375" bestFit="1" customWidth="1"/>
    <col min="2" max="2" width="14" bestFit="1" customWidth="1"/>
    <col min="3" max="3" width="11.5703125" bestFit="1" customWidth="1"/>
    <col min="4" max="4" width="21.140625" bestFit="1" customWidth="1"/>
    <col min="5" max="5" width="20.42578125" bestFit="1" customWidth="1"/>
    <col min="6" max="6" width="21.42578125" bestFit="1" customWidth="1"/>
    <col min="7" max="7" width="28" bestFit="1" customWidth="1"/>
    <col min="8" max="10" width="20.42578125" bestFit="1" customWidth="1"/>
    <col min="11" max="11" width="12.7109375" bestFit="1" customWidth="1"/>
    <col min="12" max="12" width="14.5703125" bestFit="1" customWidth="1"/>
  </cols>
  <sheetData>
    <row r="3" spans="1:12" ht="23.25">
      <c r="F3" s="74" t="s">
        <v>73</v>
      </c>
      <c r="G3" s="74"/>
    </row>
    <row r="4" spans="1:12" ht="23.25">
      <c r="F4" s="51">
        <v>3000</v>
      </c>
      <c r="G4" s="52" t="s">
        <v>74</v>
      </c>
    </row>
    <row r="5" spans="1:12" ht="23.25">
      <c r="F5" s="51">
        <v>2000</v>
      </c>
      <c r="G5" s="52" t="s">
        <v>75</v>
      </c>
    </row>
    <row r="6" spans="1:12" ht="23.25">
      <c r="F6" s="51">
        <v>1000</v>
      </c>
      <c r="G6" s="52" t="s">
        <v>76</v>
      </c>
    </row>
    <row r="7" spans="1:12" ht="23.25">
      <c r="F7" s="51">
        <v>4000</v>
      </c>
      <c r="G7" s="52" t="s">
        <v>77</v>
      </c>
    </row>
    <row r="8" spans="1:12" ht="23.25">
      <c r="F8" s="53">
        <f>SUM(F4:F7)</f>
        <v>10000</v>
      </c>
      <c r="G8" s="54" t="s">
        <v>78</v>
      </c>
    </row>
    <row r="11" spans="1:12" ht="69.75" customHeight="1">
      <c r="A11" s="55" t="s">
        <v>0</v>
      </c>
      <c r="B11" s="55" t="s">
        <v>79</v>
      </c>
      <c r="C11" s="56" t="s">
        <v>57</v>
      </c>
      <c r="D11" s="56" t="s">
        <v>63</v>
      </c>
      <c r="E11" s="56" t="s">
        <v>64</v>
      </c>
      <c r="F11" s="55" t="s">
        <v>80</v>
      </c>
      <c r="G11" s="57" t="s">
        <v>81</v>
      </c>
      <c r="H11" s="57" t="s">
        <v>82</v>
      </c>
      <c r="I11" s="57" t="s">
        <v>83</v>
      </c>
      <c r="J11" s="57" t="s">
        <v>84</v>
      </c>
      <c r="K11" s="57" t="s">
        <v>85</v>
      </c>
      <c r="L11" s="58" t="s">
        <v>86</v>
      </c>
    </row>
    <row r="12" spans="1:12" ht="23.25">
      <c r="A12" s="16"/>
      <c r="B12" s="16"/>
      <c r="C12" s="16"/>
      <c r="D12" s="59"/>
      <c r="E12" s="59"/>
      <c r="F12" s="60"/>
      <c r="G12" s="59"/>
      <c r="H12" s="59"/>
      <c r="I12" s="59"/>
      <c r="J12" s="59"/>
      <c r="K12" s="61"/>
      <c r="L12" s="61"/>
    </row>
    <row r="13" spans="1:12" ht="23.25">
      <c r="A13" s="16"/>
      <c r="B13" s="16"/>
      <c r="C13" s="16"/>
      <c r="D13" s="59"/>
      <c r="E13" s="59"/>
      <c r="F13" s="60"/>
      <c r="G13" s="59"/>
      <c r="H13" s="59"/>
      <c r="I13" s="59"/>
      <c r="J13" s="59"/>
      <c r="K13" s="61"/>
      <c r="L13" s="61"/>
    </row>
    <row r="14" spans="1:12" ht="23.25">
      <c r="A14" s="16"/>
      <c r="B14" s="16"/>
      <c r="C14" s="16"/>
      <c r="D14" s="59"/>
      <c r="E14" s="59"/>
      <c r="F14" s="60"/>
      <c r="G14" s="59"/>
      <c r="H14" s="59"/>
      <c r="I14" s="59"/>
      <c r="J14" s="59"/>
      <c r="K14" s="61"/>
      <c r="L14" s="61"/>
    </row>
    <row r="15" spans="1:12" ht="23.25">
      <c r="A15" s="16"/>
      <c r="B15" s="16"/>
      <c r="C15" s="16"/>
      <c r="D15" s="59"/>
      <c r="E15" s="59"/>
      <c r="F15" s="60"/>
      <c r="G15" s="59"/>
      <c r="H15" s="59"/>
      <c r="I15" s="59"/>
      <c r="J15" s="59"/>
      <c r="K15" s="61"/>
      <c r="L15" s="61"/>
    </row>
    <row r="16" spans="1:12" ht="23.25">
      <c r="A16" s="16"/>
      <c r="B16" s="16"/>
      <c r="C16" s="16"/>
      <c r="D16" s="59"/>
      <c r="E16" s="59"/>
      <c r="F16" s="60"/>
      <c r="G16" s="59"/>
      <c r="H16" s="59"/>
      <c r="I16" s="59"/>
      <c r="J16" s="59"/>
      <c r="K16" s="61"/>
      <c r="L16" s="61"/>
    </row>
    <row r="17" spans="1:12" ht="23.25">
      <c r="A17" s="16"/>
      <c r="B17" s="16"/>
      <c r="C17" s="16"/>
      <c r="D17" s="59"/>
      <c r="E17" s="59"/>
      <c r="F17" s="60"/>
      <c r="G17" s="59"/>
      <c r="H17" s="59"/>
      <c r="I17" s="59"/>
      <c r="J17" s="59"/>
      <c r="K17" s="61"/>
      <c r="L17" s="61"/>
    </row>
    <row r="18" spans="1:12" ht="23.25">
      <c r="A18" s="16"/>
      <c r="B18" s="16"/>
      <c r="C18" s="16"/>
      <c r="D18" s="59"/>
      <c r="E18" s="59"/>
      <c r="F18" s="60"/>
      <c r="G18" s="59"/>
      <c r="H18" s="59"/>
      <c r="I18" s="59"/>
      <c r="J18" s="59"/>
      <c r="K18" s="61"/>
      <c r="L18" s="61"/>
    </row>
    <row r="19" spans="1:12" ht="23.25">
      <c r="A19" s="75" t="str">
        <f>'[1]ادارة مشتريات'!A18</f>
        <v>كوي كشتي</v>
      </c>
      <c r="B19" s="75"/>
      <c r="C19" s="62">
        <f>SUM(C12:C18)</f>
        <v>0</v>
      </c>
      <c r="D19" s="62">
        <f t="shared" ref="D19:L19" si="0">SUM(D12:D18)</f>
        <v>0</v>
      </c>
      <c r="E19" s="62">
        <f t="shared" si="0"/>
        <v>0</v>
      </c>
      <c r="F19" s="62">
        <f t="shared" si="0"/>
        <v>0</v>
      </c>
      <c r="G19" s="62">
        <f t="shared" si="0"/>
        <v>0</v>
      </c>
      <c r="H19" s="62">
        <f t="shared" si="0"/>
        <v>0</v>
      </c>
      <c r="I19" s="62">
        <f t="shared" si="0"/>
        <v>0</v>
      </c>
      <c r="J19" s="62">
        <f t="shared" si="0"/>
        <v>0</v>
      </c>
      <c r="K19" s="62">
        <f t="shared" si="0"/>
        <v>0</v>
      </c>
      <c r="L19" s="62">
        <f t="shared" si="0"/>
        <v>0</v>
      </c>
    </row>
    <row r="20" spans="1:12" ht="26.25">
      <c r="D20" s="63" t="e">
        <f>F8/D19</f>
        <v>#DIV/0!</v>
      </c>
    </row>
  </sheetData>
  <mergeCells count="2">
    <mergeCell ref="F3:G3"/>
    <mergeCell ref="A19:B19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4:E18"/>
  <sheetViews>
    <sheetView rightToLeft="1" zoomScale="90" zoomScaleNormal="90" workbookViewId="0">
      <selection activeCell="C21" sqref="C21"/>
    </sheetView>
  </sheetViews>
  <sheetFormatPr defaultRowHeight="15"/>
  <cols>
    <col min="2" max="2" width="35.140625" customWidth="1"/>
    <col min="3" max="3" width="13.42578125" customWidth="1"/>
    <col min="4" max="4" width="30.28515625" customWidth="1"/>
    <col min="5" max="5" width="23.5703125" customWidth="1"/>
  </cols>
  <sheetData>
    <row r="4" spans="2:5" ht="18">
      <c r="D4" s="28"/>
      <c r="E4" s="28"/>
    </row>
    <row r="7" spans="2:5" ht="15.75" thickBot="1"/>
    <row r="8" spans="2:5" ht="18.75" thickBot="1">
      <c r="B8" s="2" t="s">
        <v>12</v>
      </c>
      <c r="C8">
        <v>1</v>
      </c>
      <c r="E8" s="30"/>
    </row>
    <row r="9" spans="2:5" ht="23.25">
      <c r="B9" s="2" t="s">
        <v>13</v>
      </c>
      <c r="C9" s="16" t="str">
        <f>VLOOKUP($C$8,'رواتب الموظفين'!A:P,2,FALSE)</f>
        <v>احمد</v>
      </c>
      <c r="E9" s="30"/>
    </row>
    <row r="10" spans="2:5" ht="18.75" thickBot="1">
      <c r="E10" s="30"/>
    </row>
    <row r="11" spans="2:5" ht="24" thickBot="1">
      <c r="B11" s="3" t="s">
        <v>14</v>
      </c>
      <c r="C11" s="16">
        <f>VLOOKUP($C$8,'رواتب الموظفين'!A:P,3,FALSE)</f>
        <v>400000</v>
      </c>
      <c r="D11" s="6" t="s">
        <v>21</v>
      </c>
      <c r="E11" s="30"/>
    </row>
    <row r="12" spans="2:5" ht="24" thickBot="1">
      <c r="B12" s="4" t="s">
        <v>15</v>
      </c>
      <c r="C12" s="16">
        <f>VLOOKUP($C$8,'رواتب الموظفين'!A:P,4,FALSE)</f>
        <v>200000</v>
      </c>
      <c r="D12" s="6" t="s">
        <v>44</v>
      </c>
      <c r="E12" s="28"/>
    </row>
    <row r="13" spans="2:5" ht="24" thickBot="1">
      <c r="B13" s="4" t="s">
        <v>16</v>
      </c>
      <c r="C13" s="16">
        <f>VLOOKUP($C$8,'رواتب الموظفين'!A:P,5,FALSE)</f>
        <v>0</v>
      </c>
      <c r="D13" s="6" t="s">
        <v>45</v>
      </c>
    </row>
    <row r="14" spans="2:5" ht="24" thickBot="1">
      <c r="B14" s="4" t="s">
        <v>17</v>
      </c>
      <c r="C14" s="16">
        <f>VLOOKUP($C$8,'رواتب الموظفين'!A:P,6,FALSE)</f>
        <v>0</v>
      </c>
      <c r="D14" s="6" t="s">
        <v>22</v>
      </c>
      <c r="E14" s="28"/>
    </row>
    <row r="15" spans="2:5" ht="24" thickBot="1">
      <c r="B15" s="4" t="s">
        <v>18</v>
      </c>
      <c r="C15" s="16">
        <f>VLOOKUP($C$8,'رواتب الموظفين'!A:P,7,FALSE)</f>
        <v>200000</v>
      </c>
      <c r="D15" s="6" t="s">
        <v>23</v>
      </c>
    </row>
    <row r="16" spans="2:5" ht="24" thickBot="1">
      <c r="B16" s="4" t="s">
        <v>19</v>
      </c>
      <c r="C16" s="16">
        <f>VLOOKUP($C$8,'رواتب الموظفين'!A:P,8,FALSE)</f>
        <v>5000</v>
      </c>
      <c r="D16" s="7" t="s">
        <v>24</v>
      </c>
    </row>
    <row r="17" spans="2:5" ht="23.25">
      <c r="B17" s="5" t="s">
        <v>20</v>
      </c>
      <c r="C17" s="16">
        <f>VLOOKUP($C$8,'رواتب الموظفين'!A:P,9,FALSE)</f>
        <v>405000</v>
      </c>
      <c r="D17" s="8" t="s">
        <v>25</v>
      </c>
    </row>
    <row r="18" spans="2:5" ht="18">
      <c r="E18" s="29"/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4:J9"/>
  <sheetViews>
    <sheetView rightToLeft="1" tabSelected="1" workbookViewId="0">
      <selection activeCell="B10" sqref="B10"/>
    </sheetView>
  </sheetViews>
  <sheetFormatPr defaultRowHeight="15"/>
  <cols>
    <col min="2" max="2" width="18.28515625" customWidth="1"/>
    <col min="4" max="4" width="23" customWidth="1"/>
    <col min="5" max="5" width="21.85546875" customWidth="1"/>
    <col min="6" max="6" width="14.42578125" customWidth="1"/>
    <col min="7" max="7" width="15.7109375" customWidth="1"/>
    <col min="8" max="8" width="31.5703125" customWidth="1"/>
    <col min="9" max="9" width="14.85546875" customWidth="1"/>
    <col min="10" max="10" width="27.5703125" customWidth="1"/>
  </cols>
  <sheetData>
    <row r="4" spans="1:10" ht="15.75" thickBot="1"/>
    <row r="5" spans="1:10" ht="42" customHeight="1" thickBot="1">
      <c r="A5" s="1" t="s">
        <v>0</v>
      </c>
      <c r="B5" s="1" t="s">
        <v>1</v>
      </c>
      <c r="C5" s="1" t="s">
        <v>2</v>
      </c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</row>
    <row r="6" spans="1:10" ht="21" thickBot="1">
      <c r="A6" s="17">
        <v>1</v>
      </c>
      <c r="B6" s="1" t="s">
        <v>32</v>
      </c>
      <c r="C6" s="17" t="s">
        <v>33</v>
      </c>
      <c r="D6" s="18">
        <v>40858</v>
      </c>
      <c r="E6" s="17">
        <v>12123</v>
      </c>
      <c r="F6" s="17" t="s">
        <v>34</v>
      </c>
      <c r="G6" s="17" t="s">
        <v>35</v>
      </c>
      <c r="H6" s="17" t="s">
        <v>36</v>
      </c>
      <c r="I6" s="17">
        <v>750</v>
      </c>
      <c r="J6" s="17" t="s">
        <v>37</v>
      </c>
    </row>
    <row r="7" spans="1:10" ht="21" thickBot="1">
      <c r="A7" s="17">
        <v>2</v>
      </c>
      <c r="B7" s="1" t="s">
        <v>42</v>
      </c>
      <c r="C7" s="17"/>
      <c r="D7" s="18"/>
      <c r="E7" s="17"/>
      <c r="F7" s="17"/>
      <c r="G7" s="17"/>
      <c r="H7" s="17"/>
      <c r="I7" s="17"/>
      <c r="J7" s="17"/>
    </row>
    <row r="8" spans="1:10" s="19" customFormat="1" ht="21" thickBot="1">
      <c r="A8" s="19">
        <v>3</v>
      </c>
      <c r="B8" s="22" t="s">
        <v>38</v>
      </c>
      <c r="C8" s="19" t="s">
        <v>39</v>
      </c>
      <c r="D8" s="20">
        <v>41255</v>
      </c>
      <c r="E8" s="19">
        <v>123234</v>
      </c>
      <c r="F8" s="19" t="s">
        <v>40</v>
      </c>
      <c r="G8" s="19" t="s">
        <v>41</v>
      </c>
      <c r="H8" s="21" t="s">
        <v>36</v>
      </c>
      <c r="I8" s="19">
        <v>770</v>
      </c>
      <c r="J8" s="20">
        <v>44512</v>
      </c>
    </row>
    <row r="9" spans="1:10" ht="20.25">
      <c r="A9">
        <v>4</v>
      </c>
      <c r="B9" s="67" t="s">
        <v>99</v>
      </c>
    </row>
  </sheetData>
  <pageMargins left="0.7" right="0.7" top="0.75" bottom="0.75" header="0.3" footer="0.3"/>
  <pageSetup orientation="portrait" horizontalDpi="4294967293" verticalDpi="0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5:Q20"/>
  <sheetViews>
    <sheetView rightToLeft="1" zoomScale="110" zoomScaleNormal="110" workbookViewId="0"/>
  </sheetViews>
  <sheetFormatPr defaultRowHeight="15"/>
  <cols>
    <col min="1" max="1" width="7.85546875" customWidth="1"/>
    <col min="2" max="2" width="19.42578125" customWidth="1"/>
    <col min="3" max="3" width="22.140625" customWidth="1"/>
    <col min="4" max="4" width="15.42578125" bestFit="1" customWidth="1"/>
    <col min="7" max="7" width="14.42578125" bestFit="1" customWidth="1"/>
    <col min="8" max="8" width="11.7109375" customWidth="1"/>
    <col min="9" max="9" width="16.85546875" customWidth="1"/>
    <col min="10" max="10" width="13.28515625" customWidth="1"/>
    <col min="11" max="11" width="23.140625" customWidth="1"/>
    <col min="12" max="12" width="21.7109375" customWidth="1"/>
    <col min="13" max="13" width="14.42578125" customWidth="1"/>
    <col min="14" max="14" width="17.140625" customWidth="1"/>
    <col min="15" max="15" width="16.85546875" customWidth="1"/>
    <col min="16" max="16" width="13.85546875" customWidth="1"/>
    <col min="17" max="17" width="26.140625" customWidth="1"/>
  </cols>
  <sheetData>
    <row r="5" spans="1:17" ht="15.75" thickBot="1">
      <c r="D5" s="24">
        <f>C8/30/8</f>
        <v>1666.6666666666667</v>
      </c>
      <c r="E5">
        <v>3</v>
      </c>
    </row>
    <row r="6" spans="1:17" ht="18.75" thickBot="1">
      <c r="D6" s="76" t="s">
        <v>10</v>
      </c>
      <c r="E6" s="76"/>
      <c r="F6" s="76"/>
      <c r="G6" s="76"/>
      <c r="H6" s="76"/>
      <c r="J6" s="77" t="s">
        <v>11</v>
      </c>
      <c r="K6" s="77"/>
      <c r="L6" s="77"/>
      <c r="M6" s="77"/>
      <c r="N6" s="77"/>
    </row>
    <row r="7" spans="1:17" ht="18">
      <c r="A7" s="2" t="s">
        <v>12</v>
      </c>
      <c r="B7" s="2" t="s">
        <v>13</v>
      </c>
      <c r="C7" s="3" t="s">
        <v>14</v>
      </c>
      <c r="D7" s="4" t="s">
        <v>15</v>
      </c>
      <c r="E7" s="4" t="s">
        <v>16</v>
      </c>
      <c r="F7" s="4" t="s">
        <v>17</v>
      </c>
      <c r="G7" s="4" t="s">
        <v>18</v>
      </c>
      <c r="H7" s="4" t="s">
        <v>19</v>
      </c>
      <c r="I7" s="5" t="s">
        <v>20</v>
      </c>
      <c r="J7" s="6" t="s">
        <v>21</v>
      </c>
      <c r="K7" s="6" t="s">
        <v>44</v>
      </c>
      <c r="L7" s="6" t="s">
        <v>45</v>
      </c>
      <c r="M7" s="6" t="s">
        <v>22</v>
      </c>
      <c r="N7" s="6" t="s">
        <v>23</v>
      </c>
      <c r="O7" s="7" t="s">
        <v>24</v>
      </c>
      <c r="P7" s="8" t="s">
        <v>25</v>
      </c>
      <c r="Q7" s="9" t="s">
        <v>26</v>
      </c>
    </row>
    <row r="8" spans="1:17" ht="23.25">
      <c r="A8">
        <v>1</v>
      </c>
      <c r="B8" s="16" t="str">
        <f>'اسم الموظف'!B6</f>
        <v>احمد</v>
      </c>
      <c r="C8" s="23">
        <v>400000</v>
      </c>
      <c r="D8" s="25">
        <f>C8*0.5</f>
        <v>200000</v>
      </c>
      <c r="G8" s="26">
        <f>C8*0.5</f>
        <v>200000</v>
      </c>
      <c r="H8" s="25">
        <f>D5*E5</f>
        <v>5000</v>
      </c>
      <c r="I8" s="25">
        <f>SUM(D8:H8)</f>
        <v>405000</v>
      </c>
      <c r="K8" s="24">
        <f>C8*0.12</f>
        <v>48000</v>
      </c>
      <c r="L8" s="24">
        <f>C8*0.05</f>
        <v>20000</v>
      </c>
      <c r="M8" s="25">
        <f>C8*0.25</f>
        <v>100000</v>
      </c>
      <c r="O8" s="25">
        <f>J8+L8+M8+N8</f>
        <v>120000</v>
      </c>
      <c r="P8" s="25">
        <f>C8+I8-O8</f>
        <v>685000</v>
      </c>
    </row>
    <row r="9" spans="1:17" ht="23.25">
      <c r="A9">
        <v>2</v>
      </c>
      <c r="B9" s="16" t="str">
        <f>'اسم الموظف'!B7</f>
        <v>RAWF</v>
      </c>
      <c r="C9" s="31">
        <v>500000</v>
      </c>
      <c r="D9" s="25">
        <f t="shared" ref="D9:D19" si="0">C9*0.5</f>
        <v>250000</v>
      </c>
      <c r="G9" s="26">
        <f t="shared" ref="G9:G19" si="1">C9*0.5</f>
        <v>250000</v>
      </c>
      <c r="I9" s="25">
        <f t="shared" ref="I9:I19" si="2">SUM(D9:H9)</f>
        <v>500000</v>
      </c>
      <c r="K9" s="24">
        <f t="shared" ref="K9:K19" si="3">C9*0.12</f>
        <v>60000</v>
      </c>
      <c r="L9" s="24">
        <f t="shared" ref="L9:L19" si="4">C9*0.05</f>
        <v>25000</v>
      </c>
      <c r="M9" s="25">
        <f t="shared" ref="M9:M19" si="5">C9*0.25</f>
        <v>125000</v>
      </c>
      <c r="O9" s="25">
        <f t="shared" ref="O9:O19" si="6">J9+L9+M9+N9</f>
        <v>150000</v>
      </c>
      <c r="P9" s="25">
        <f t="shared" ref="P9:P19" si="7">C9+I9-O9</f>
        <v>850000</v>
      </c>
    </row>
    <row r="10" spans="1:17" ht="23.25">
      <c r="A10">
        <v>3</v>
      </c>
      <c r="B10" s="16" t="str">
        <f>'اسم الموظف'!B8</f>
        <v>MAHMUD</v>
      </c>
      <c r="D10" s="25">
        <f t="shared" si="0"/>
        <v>0</v>
      </c>
      <c r="G10" s="26">
        <f t="shared" si="1"/>
        <v>0</v>
      </c>
      <c r="I10" s="25">
        <f t="shared" si="2"/>
        <v>0</v>
      </c>
      <c r="K10" s="24">
        <f t="shared" si="3"/>
        <v>0</v>
      </c>
      <c r="L10" s="24">
        <f t="shared" si="4"/>
        <v>0</v>
      </c>
      <c r="M10" s="25">
        <f t="shared" si="5"/>
        <v>0</v>
      </c>
      <c r="O10" s="25">
        <f t="shared" si="6"/>
        <v>0</v>
      </c>
      <c r="P10" s="25">
        <f t="shared" si="7"/>
        <v>0</v>
      </c>
    </row>
    <row r="11" spans="1:17" ht="23.25">
      <c r="A11">
        <v>4</v>
      </c>
      <c r="B11" s="16" t="str">
        <f>'اسم الموظف'!B9</f>
        <v>Aland</v>
      </c>
      <c r="D11" s="25">
        <f t="shared" si="0"/>
        <v>0</v>
      </c>
      <c r="G11" s="26">
        <f t="shared" si="1"/>
        <v>0</v>
      </c>
      <c r="I11" s="25">
        <f t="shared" si="2"/>
        <v>0</v>
      </c>
      <c r="K11" s="24">
        <f t="shared" si="3"/>
        <v>0</v>
      </c>
      <c r="L11" s="24">
        <f t="shared" si="4"/>
        <v>0</v>
      </c>
      <c r="M11" s="25">
        <f t="shared" si="5"/>
        <v>0</v>
      </c>
      <c r="O11" s="25">
        <f t="shared" si="6"/>
        <v>0</v>
      </c>
      <c r="P11" s="25">
        <f t="shared" si="7"/>
        <v>0</v>
      </c>
    </row>
    <row r="12" spans="1:17" ht="23.25">
      <c r="A12">
        <v>5</v>
      </c>
      <c r="B12" s="16">
        <f>'اسم الموظف'!B10</f>
        <v>0</v>
      </c>
      <c r="D12" s="25">
        <f t="shared" si="0"/>
        <v>0</v>
      </c>
      <c r="G12" s="26">
        <f t="shared" si="1"/>
        <v>0</v>
      </c>
      <c r="I12" s="25">
        <f t="shared" si="2"/>
        <v>0</v>
      </c>
      <c r="K12" s="24">
        <f t="shared" si="3"/>
        <v>0</v>
      </c>
      <c r="L12" s="24">
        <f t="shared" si="4"/>
        <v>0</v>
      </c>
      <c r="M12" s="25">
        <f t="shared" si="5"/>
        <v>0</v>
      </c>
      <c r="O12" s="25">
        <f t="shared" si="6"/>
        <v>0</v>
      </c>
      <c r="P12" s="25">
        <f t="shared" si="7"/>
        <v>0</v>
      </c>
    </row>
    <row r="13" spans="1:17" ht="23.25">
      <c r="A13">
        <v>6</v>
      </c>
      <c r="B13" s="16" t="str">
        <f>IFERROR(VLOOKUP(A13,'اسم الموظف'!A:B,2,FALSE),"")</f>
        <v/>
      </c>
      <c r="D13" s="25">
        <f t="shared" si="0"/>
        <v>0</v>
      </c>
      <c r="G13" s="26">
        <f t="shared" si="1"/>
        <v>0</v>
      </c>
      <c r="I13" s="25">
        <f t="shared" si="2"/>
        <v>0</v>
      </c>
      <c r="K13" s="24">
        <f t="shared" si="3"/>
        <v>0</v>
      </c>
      <c r="L13" s="24">
        <f t="shared" si="4"/>
        <v>0</v>
      </c>
      <c r="M13" s="25">
        <f t="shared" si="5"/>
        <v>0</v>
      </c>
      <c r="O13" s="25">
        <f t="shared" si="6"/>
        <v>0</v>
      </c>
      <c r="P13" s="25">
        <f t="shared" si="7"/>
        <v>0</v>
      </c>
    </row>
    <row r="14" spans="1:17" ht="23.25">
      <c r="A14">
        <v>7</v>
      </c>
      <c r="B14" s="16" t="str">
        <f>IFERROR(VLOOKUP(A14,'اسم الموظف'!A:B,2,FALSE),"")</f>
        <v/>
      </c>
      <c r="D14" s="25">
        <f t="shared" si="0"/>
        <v>0</v>
      </c>
      <c r="G14" s="26">
        <f t="shared" si="1"/>
        <v>0</v>
      </c>
      <c r="I14" s="25">
        <f t="shared" si="2"/>
        <v>0</v>
      </c>
      <c r="K14" s="24">
        <f t="shared" si="3"/>
        <v>0</v>
      </c>
      <c r="L14" s="24">
        <f t="shared" si="4"/>
        <v>0</v>
      </c>
      <c r="M14" s="25">
        <f t="shared" si="5"/>
        <v>0</v>
      </c>
      <c r="O14" s="25">
        <f t="shared" si="6"/>
        <v>0</v>
      </c>
      <c r="P14" s="25">
        <f t="shared" si="7"/>
        <v>0</v>
      </c>
    </row>
    <row r="15" spans="1:17" ht="23.25">
      <c r="A15">
        <v>8</v>
      </c>
      <c r="B15" s="16" t="str">
        <f>IFERROR(VLOOKUP(A15,'اسم الموظف'!A:B,2,FALSE),"")</f>
        <v/>
      </c>
      <c r="D15" s="25">
        <f t="shared" si="0"/>
        <v>0</v>
      </c>
      <c r="G15" s="26">
        <f t="shared" si="1"/>
        <v>0</v>
      </c>
      <c r="I15" s="25">
        <f t="shared" si="2"/>
        <v>0</v>
      </c>
      <c r="K15" s="24">
        <f t="shared" si="3"/>
        <v>0</v>
      </c>
      <c r="L15" s="24">
        <f t="shared" si="4"/>
        <v>0</v>
      </c>
      <c r="M15" s="25">
        <f t="shared" si="5"/>
        <v>0</v>
      </c>
      <c r="O15" s="25">
        <f t="shared" si="6"/>
        <v>0</v>
      </c>
      <c r="P15" s="25">
        <f t="shared" si="7"/>
        <v>0</v>
      </c>
    </row>
    <row r="16" spans="1:17" ht="23.25">
      <c r="A16">
        <v>9</v>
      </c>
      <c r="B16" s="16" t="str">
        <f>IFERROR(VLOOKUP(A16,'اسم الموظف'!A:B,2,FALSE),"")</f>
        <v/>
      </c>
      <c r="D16" s="25">
        <f t="shared" si="0"/>
        <v>0</v>
      </c>
      <c r="G16" s="26">
        <f t="shared" si="1"/>
        <v>0</v>
      </c>
      <c r="I16" s="25">
        <f t="shared" si="2"/>
        <v>0</v>
      </c>
      <c r="K16" s="24">
        <f t="shared" si="3"/>
        <v>0</v>
      </c>
      <c r="L16" s="24">
        <f t="shared" si="4"/>
        <v>0</v>
      </c>
      <c r="M16" s="25">
        <f t="shared" si="5"/>
        <v>0</v>
      </c>
      <c r="O16" s="25">
        <f t="shared" si="6"/>
        <v>0</v>
      </c>
      <c r="P16" s="25">
        <f t="shared" si="7"/>
        <v>0</v>
      </c>
    </row>
    <row r="17" spans="1:16" ht="23.25">
      <c r="A17">
        <v>10</v>
      </c>
      <c r="B17" s="16" t="str">
        <f>IFERROR(VLOOKUP(A17,'اسم الموظف'!A:B,2,FALSE),"")</f>
        <v/>
      </c>
      <c r="D17" s="25">
        <f t="shared" si="0"/>
        <v>0</v>
      </c>
      <c r="G17" s="26">
        <f t="shared" si="1"/>
        <v>0</v>
      </c>
      <c r="I17" s="25">
        <f t="shared" si="2"/>
        <v>0</v>
      </c>
      <c r="K17" s="24">
        <f t="shared" si="3"/>
        <v>0</v>
      </c>
      <c r="L17" s="24">
        <f t="shared" si="4"/>
        <v>0</v>
      </c>
      <c r="M17" s="25">
        <f t="shared" si="5"/>
        <v>0</v>
      </c>
      <c r="O17" s="25">
        <f t="shared" si="6"/>
        <v>0</v>
      </c>
      <c r="P17" s="25">
        <f t="shared" si="7"/>
        <v>0</v>
      </c>
    </row>
    <row r="18" spans="1:16" ht="23.25">
      <c r="A18">
        <v>11</v>
      </c>
      <c r="B18" s="16" t="str">
        <f>IFERROR(VLOOKUP(A18,'اسم الموظف'!A:B,2,FALSE),"")</f>
        <v/>
      </c>
      <c r="D18" s="25">
        <f t="shared" si="0"/>
        <v>0</v>
      </c>
      <c r="G18" s="26">
        <f t="shared" si="1"/>
        <v>0</v>
      </c>
      <c r="I18" s="25">
        <f t="shared" si="2"/>
        <v>0</v>
      </c>
      <c r="K18" s="24">
        <f t="shared" si="3"/>
        <v>0</v>
      </c>
      <c r="L18" s="24">
        <f t="shared" si="4"/>
        <v>0</v>
      </c>
      <c r="M18" s="25">
        <f t="shared" si="5"/>
        <v>0</v>
      </c>
      <c r="O18" s="25">
        <f t="shared" si="6"/>
        <v>0</v>
      </c>
      <c r="P18" s="25">
        <f t="shared" si="7"/>
        <v>0</v>
      </c>
    </row>
    <row r="19" spans="1:16" ht="24" thickBot="1">
      <c r="A19">
        <v>12</v>
      </c>
      <c r="B19" s="16" t="str">
        <f>IFERROR(VLOOKUP(A19,'اسم الموظف'!A:B,2,FALSE),"")</f>
        <v/>
      </c>
      <c r="D19" s="25">
        <f t="shared" si="0"/>
        <v>0</v>
      </c>
      <c r="G19" s="26">
        <f t="shared" si="1"/>
        <v>0</v>
      </c>
      <c r="I19" s="25">
        <f t="shared" si="2"/>
        <v>0</v>
      </c>
      <c r="K19" s="24">
        <f t="shared" si="3"/>
        <v>0</v>
      </c>
      <c r="L19" s="24">
        <f t="shared" si="4"/>
        <v>0</v>
      </c>
      <c r="M19" s="25">
        <f t="shared" si="5"/>
        <v>0</v>
      </c>
      <c r="O19" s="25">
        <f t="shared" si="6"/>
        <v>0</v>
      </c>
      <c r="P19" s="25">
        <f t="shared" si="7"/>
        <v>0</v>
      </c>
    </row>
    <row r="20" spans="1:16" ht="24" thickBot="1">
      <c r="A20" s="78" t="s">
        <v>27</v>
      </c>
      <c r="B20" s="78"/>
      <c r="C20" s="10">
        <f>SUM(C8:C19)</f>
        <v>900000</v>
      </c>
      <c r="D20" s="10">
        <f t="shared" ref="D20:P20" si="8">SUM(D8:D19)</f>
        <v>450000</v>
      </c>
      <c r="E20" s="10">
        <f t="shared" si="8"/>
        <v>0</v>
      </c>
      <c r="F20" s="10">
        <f t="shared" si="8"/>
        <v>0</v>
      </c>
      <c r="G20" s="10">
        <f t="shared" si="8"/>
        <v>450000</v>
      </c>
      <c r="H20" s="10">
        <f t="shared" si="8"/>
        <v>5000</v>
      </c>
      <c r="I20" s="10">
        <f t="shared" si="8"/>
        <v>905000</v>
      </c>
      <c r="J20" s="10">
        <f t="shared" si="8"/>
        <v>0</v>
      </c>
      <c r="K20" s="10"/>
      <c r="L20" s="10">
        <f t="shared" si="8"/>
        <v>45000</v>
      </c>
      <c r="M20" s="10">
        <f t="shared" si="8"/>
        <v>225000</v>
      </c>
      <c r="N20" s="10">
        <f t="shared" si="8"/>
        <v>0</v>
      </c>
      <c r="O20" s="10">
        <f t="shared" si="8"/>
        <v>270000</v>
      </c>
      <c r="P20" s="10">
        <f t="shared" si="8"/>
        <v>1535000</v>
      </c>
    </row>
  </sheetData>
  <mergeCells count="3">
    <mergeCell ref="D6:H6"/>
    <mergeCell ref="J6:N6"/>
    <mergeCell ref="A20:B20"/>
  </mergeCells>
  <pageMargins left="0.7" right="0.7" top="0.75" bottom="0.75" header="0.3" footer="0.3"/>
  <pageSetup orientation="portrait" horizontalDpi="4294967293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C2D63D-AE67-4D2B-A4EE-48C334FF336F}">
  <dimension ref="A3:R35"/>
  <sheetViews>
    <sheetView rightToLeft="1" topLeftCell="A3" workbookViewId="0">
      <selection activeCell="J4" sqref="J4:Q4"/>
    </sheetView>
  </sheetViews>
  <sheetFormatPr defaultRowHeight="15"/>
  <cols>
    <col min="1" max="3" width="9.140625" style="64"/>
    <col min="4" max="4" width="15.42578125" style="64" bestFit="1" customWidth="1"/>
    <col min="5" max="8" width="9.140625" style="64"/>
    <col min="9" max="9" width="15.42578125" style="64" bestFit="1" customWidth="1"/>
    <col min="10" max="16" width="9.140625" style="64"/>
    <col min="17" max="17" width="15.42578125" style="64" bestFit="1" customWidth="1"/>
    <col min="18" max="18" width="9.140625" style="64"/>
  </cols>
  <sheetData>
    <row r="3" spans="1:18">
      <c r="D3" s="64">
        <f>C6/30</f>
        <v>13333.333333333334</v>
      </c>
      <c r="E3" s="64">
        <f>D3/8</f>
        <v>1666.6666666666667</v>
      </c>
      <c r="F3" s="64" t="s">
        <v>97</v>
      </c>
      <c r="G3" s="64">
        <v>3</v>
      </c>
      <c r="H3" s="64">
        <f>E3*G3</f>
        <v>5000</v>
      </c>
      <c r="J3" s="64">
        <v>2</v>
      </c>
      <c r="K3" s="64">
        <f>D3*J3</f>
        <v>26666.666666666668</v>
      </c>
    </row>
    <row r="4" spans="1:18">
      <c r="A4" s="65" t="s">
        <v>53</v>
      </c>
      <c r="B4" s="65" t="s">
        <v>87</v>
      </c>
      <c r="C4" s="65" t="s">
        <v>88</v>
      </c>
      <c r="D4" s="65" t="s">
        <v>15</v>
      </c>
      <c r="E4" s="65" t="s">
        <v>16</v>
      </c>
      <c r="F4" s="65" t="s">
        <v>89</v>
      </c>
      <c r="G4" s="65" t="s">
        <v>90</v>
      </c>
      <c r="H4" s="79" t="s">
        <v>91</v>
      </c>
      <c r="I4" s="79"/>
      <c r="J4" s="65" t="s">
        <v>92</v>
      </c>
      <c r="K4" s="79" t="s">
        <v>93</v>
      </c>
      <c r="L4" s="79"/>
      <c r="M4" s="65" t="s">
        <v>94</v>
      </c>
      <c r="N4" s="65" t="s">
        <v>23</v>
      </c>
      <c r="O4" s="79" t="s">
        <v>95</v>
      </c>
      <c r="P4" s="79"/>
      <c r="Q4" s="65" t="s">
        <v>96</v>
      </c>
      <c r="R4" s="65" t="s">
        <v>98</v>
      </c>
    </row>
    <row r="5" spans="1:18">
      <c r="A5" s="65"/>
      <c r="B5" s="65"/>
      <c r="C5" s="65"/>
      <c r="D5" s="65"/>
      <c r="E5" s="65"/>
      <c r="F5" s="65"/>
      <c r="G5" s="65"/>
      <c r="H5" s="65"/>
      <c r="I5" s="65"/>
      <c r="J5" s="65"/>
      <c r="K5" s="70">
        <v>0.12</v>
      </c>
      <c r="L5" s="70">
        <v>0.05</v>
      </c>
      <c r="M5" s="65"/>
      <c r="N5" s="65"/>
      <c r="O5" s="65"/>
      <c r="P5" s="65"/>
      <c r="Q5" s="65"/>
      <c r="R5" s="65"/>
    </row>
    <row r="6" spans="1:18">
      <c r="A6" s="64">
        <v>1</v>
      </c>
      <c r="B6" s="64" t="str">
        <f>VLOOKUP(A6,'اسم الموظف'!A:B,2,FALSE)</f>
        <v>احمد</v>
      </c>
      <c r="C6" s="68">
        <v>400000</v>
      </c>
      <c r="D6" s="69">
        <f>C6*0.5</f>
        <v>200000</v>
      </c>
      <c r="F6" s="64">
        <f>C6*0.75</f>
        <v>300000</v>
      </c>
      <c r="G6" s="64">
        <f>H3</f>
        <v>5000</v>
      </c>
      <c r="I6" s="69">
        <f>SUM(D6:G6)</f>
        <v>505000</v>
      </c>
      <c r="K6" s="64">
        <f>C6*0.12</f>
        <v>48000</v>
      </c>
      <c r="L6" s="64">
        <f>C6*0.05</f>
        <v>20000</v>
      </c>
      <c r="M6" s="64">
        <f>C6*0.25</f>
        <v>100000</v>
      </c>
      <c r="O6" s="64">
        <f>J6+L6+M6</f>
        <v>120000</v>
      </c>
      <c r="Q6" s="69">
        <f>C6+I6-O6</f>
        <v>785000</v>
      </c>
    </row>
    <row r="7" spans="1:18">
      <c r="A7" s="64">
        <v>2</v>
      </c>
      <c r="B7" s="64" t="str">
        <f>VLOOKUP(A7,'اسم الموظف'!A:B,2,FALSE)</f>
        <v>RAWF</v>
      </c>
      <c r="C7" s="64">
        <v>500000</v>
      </c>
      <c r="D7" s="69">
        <f t="shared" ref="D7:D35" si="0">C7*0.5</f>
        <v>250000</v>
      </c>
      <c r="F7" s="64">
        <f t="shared" ref="F7:F15" si="1">C7*0.75</f>
        <v>375000</v>
      </c>
      <c r="L7" s="64">
        <f t="shared" ref="L7:L30" si="2">C7*0.05</f>
        <v>25000</v>
      </c>
      <c r="O7" s="64">
        <f t="shared" ref="O7:O21" si="3">J7+L7+M7</f>
        <v>25000</v>
      </c>
      <c r="Q7" s="69">
        <f t="shared" ref="Q7:Q30" si="4">C7+I7-O7</f>
        <v>475000</v>
      </c>
    </row>
    <row r="8" spans="1:18">
      <c r="A8" s="64">
        <v>3</v>
      </c>
      <c r="B8" s="64" t="str">
        <f>VLOOKUP(A8,'اسم الموظف'!A:B,2,FALSE)</f>
        <v>MAHMUD</v>
      </c>
      <c r="D8" s="69">
        <f t="shared" si="0"/>
        <v>0</v>
      </c>
      <c r="F8" s="64">
        <f t="shared" si="1"/>
        <v>0</v>
      </c>
      <c r="L8" s="64">
        <f t="shared" si="2"/>
        <v>0</v>
      </c>
      <c r="O8" s="64">
        <f t="shared" si="3"/>
        <v>0</v>
      </c>
      <c r="Q8" s="69">
        <f t="shared" si="4"/>
        <v>0</v>
      </c>
    </row>
    <row r="9" spans="1:18">
      <c r="A9" s="64">
        <v>4</v>
      </c>
      <c r="B9" s="64" t="str">
        <f>VLOOKUP(A9,'اسم الموظف'!A:B,2,FALSE)</f>
        <v>Aland</v>
      </c>
      <c r="D9" s="69">
        <f t="shared" si="0"/>
        <v>0</v>
      </c>
      <c r="F9" s="64">
        <f t="shared" si="1"/>
        <v>0</v>
      </c>
      <c r="L9" s="64">
        <f t="shared" si="2"/>
        <v>0</v>
      </c>
      <c r="O9" s="64">
        <f t="shared" si="3"/>
        <v>0</v>
      </c>
      <c r="Q9" s="69">
        <f t="shared" si="4"/>
        <v>0</v>
      </c>
    </row>
    <row r="10" spans="1:18">
      <c r="A10" s="64">
        <v>5</v>
      </c>
      <c r="B10" s="64" t="e">
        <f>VLOOKUP(A10,'اسم الموظف'!A:B,2,FALSE)</f>
        <v>#N/A</v>
      </c>
      <c r="D10" s="69">
        <f t="shared" si="0"/>
        <v>0</v>
      </c>
      <c r="F10" s="64">
        <f t="shared" si="1"/>
        <v>0</v>
      </c>
      <c r="L10" s="64">
        <f t="shared" si="2"/>
        <v>0</v>
      </c>
      <c r="O10" s="64">
        <f t="shared" si="3"/>
        <v>0</v>
      </c>
      <c r="Q10" s="69">
        <f t="shared" si="4"/>
        <v>0</v>
      </c>
    </row>
    <row r="11" spans="1:18">
      <c r="B11" s="64" t="e">
        <f>VLOOKUP(A11,'اسم الموظف'!A:B,2,FALSE)</f>
        <v>#N/A</v>
      </c>
      <c r="D11" s="69">
        <f t="shared" si="0"/>
        <v>0</v>
      </c>
      <c r="F11" s="64">
        <f t="shared" si="1"/>
        <v>0</v>
      </c>
      <c r="L11" s="64">
        <f t="shared" si="2"/>
        <v>0</v>
      </c>
      <c r="O11" s="64">
        <f t="shared" si="3"/>
        <v>0</v>
      </c>
      <c r="Q11" s="69">
        <f t="shared" si="4"/>
        <v>0</v>
      </c>
    </row>
    <row r="12" spans="1:18">
      <c r="B12" s="64" t="e">
        <f>VLOOKUP(A12,'اسم الموظف'!A:B,2,FALSE)</f>
        <v>#N/A</v>
      </c>
      <c r="D12" s="69">
        <f t="shared" si="0"/>
        <v>0</v>
      </c>
      <c r="F12" s="64">
        <f t="shared" si="1"/>
        <v>0</v>
      </c>
      <c r="L12" s="64">
        <f t="shared" si="2"/>
        <v>0</v>
      </c>
      <c r="O12" s="64">
        <f t="shared" si="3"/>
        <v>0</v>
      </c>
      <c r="Q12" s="69">
        <f t="shared" si="4"/>
        <v>0</v>
      </c>
    </row>
    <row r="13" spans="1:18">
      <c r="B13" s="64" t="e">
        <f>VLOOKUP(A13,'اسم الموظف'!A:B,2,FALSE)</f>
        <v>#N/A</v>
      </c>
      <c r="D13" s="69">
        <f t="shared" si="0"/>
        <v>0</v>
      </c>
      <c r="F13" s="64">
        <f t="shared" si="1"/>
        <v>0</v>
      </c>
      <c r="L13" s="64">
        <f t="shared" si="2"/>
        <v>0</v>
      </c>
      <c r="O13" s="64">
        <f t="shared" si="3"/>
        <v>0</v>
      </c>
      <c r="Q13" s="69">
        <f t="shared" si="4"/>
        <v>0</v>
      </c>
    </row>
    <row r="14" spans="1:18">
      <c r="B14" s="64" t="e">
        <f>VLOOKUP(A14,'اسم الموظف'!A:B,2,FALSE)</f>
        <v>#N/A</v>
      </c>
      <c r="D14" s="69">
        <f t="shared" si="0"/>
        <v>0</v>
      </c>
      <c r="F14" s="64">
        <f t="shared" si="1"/>
        <v>0</v>
      </c>
      <c r="L14" s="64">
        <f t="shared" si="2"/>
        <v>0</v>
      </c>
      <c r="O14" s="64">
        <f t="shared" si="3"/>
        <v>0</v>
      </c>
      <c r="Q14" s="69">
        <f t="shared" si="4"/>
        <v>0</v>
      </c>
    </row>
    <row r="15" spans="1:18">
      <c r="B15" s="64" t="e">
        <f>VLOOKUP(A15,'اسم الموظف'!A:B,2,FALSE)</f>
        <v>#N/A</v>
      </c>
      <c r="D15" s="69">
        <f t="shared" si="0"/>
        <v>0</v>
      </c>
      <c r="F15" s="64">
        <f t="shared" si="1"/>
        <v>0</v>
      </c>
      <c r="L15" s="64">
        <f t="shared" si="2"/>
        <v>0</v>
      </c>
      <c r="O15" s="64">
        <f t="shared" si="3"/>
        <v>0</v>
      </c>
      <c r="Q15" s="69">
        <f t="shared" si="4"/>
        <v>0</v>
      </c>
    </row>
    <row r="16" spans="1:18">
      <c r="B16" s="64" t="e">
        <f>VLOOKUP(A16,'اسم الموظف'!A:B,2,FALSE)</f>
        <v>#N/A</v>
      </c>
      <c r="D16" s="69">
        <f t="shared" si="0"/>
        <v>0</v>
      </c>
      <c r="L16" s="64">
        <f t="shared" si="2"/>
        <v>0</v>
      </c>
      <c r="O16" s="64">
        <f t="shared" si="3"/>
        <v>0</v>
      </c>
      <c r="Q16" s="69">
        <f t="shared" si="4"/>
        <v>0</v>
      </c>
    </row>
    <row r="17" spans="2:17">
      <c r="B17" s="64" t="e">
        <f>VLOOKUP(A17,'اسم الموظف'!A:B,2,FALSE)</f>
        <v>#N/A</v>
      </c>
      <c r="D17" s="69">
        <f t="shared" si="0"/>
        <v>0</v>
      </c>
      <c r="L17" s="64">
        <f t="shared" si="2"/>
        <v>0</v>
      </c>
      <c r="O17" s="64">
        <f t="shared" si="3"/>
        <v>0</v>
      </c>
      <c r="Q17" s="69">
        <f t="shared" si="4"/>
        <v>0</v>
      </c>
    </row>
    <row r="18" spans="2:17">
      <c r="B18" s="64" t="e">
        <f>VLOOKUP(A18,'اسم الموظف'!A:B,2,FALSE)</f>
        <v>#N/A</v>
      </c>
      <c r="D18" s="69">
        <f t="shared" si="0"/>
        <v>0</v>
      </c>
      <c r="L18" s="64">
        <f t="shared" si="2"/>
        <v>0</v>
      </c>
      <c r="O18" s="64">
        <f t="shared" si="3"/>
        <v>0</v>
      </c>
      <c r="Q18" s="69">
        <f t="shared" si="4"/>
        <v>0</v>
      </c>
    </row>
    <row r="19" spans="2:17">
      <c r="B19" s="64" t="e">
        <f>VLOOKUP(A19,'اسم الموظف'!A:B,2,FALSE)</f>
        <v>#N/A</v>
      </c>
      <c r="D19" s="69">
        <f t="shared" si="0"/>
        <v>0</v>
      </c>
      <c r="L19" s="64">
        <f t="shared" si="2"/>
        <v>0</v>
      </c>
      <c r="O19" s="64">
        <f t="shared" si="3"/>
        <v>0</v>
      </c>
      <c r="Q19" s="69">
        <f t="shared" si="4"/>
        <v>0</v>
      </c>
    </row>
    <row r="20" spans="2:17">
      <c r="B20" s="64" t="e">
        <f>VLOOKUP(A20,'اسم الموظف'!A:B,2,FALSE)</f>
        <v>#N/A</v>
      </c>
      <c r="D20" s="69">
        <f t="shared" si="0"/>
        <v>0</v>
      </c>
      <c r="L20" s="64">
        <f t="shared" si="2"/>
        <v>0</v>
      </c>
      <c r="O20" s="64">
        <f t="shared" si="3"/>
        <v>0</v>
      </c>
      <c r="Q20" s="69">
        <f t="shared" si="4"/>
        <v>0</v>
      </c>
    </row>
    <row r="21" spans="2:17">
      <c r="B21" s="64" t="e">
        <f>VLOOKUP(A21,'اسم الموظف'!A:B,2,FALSE)</f>
        <v>#N/A</v>
      </c>
      <c r="C21" s="64">
        <v>500000</v>
      </c>
      <c r="D21" s="69">
        <f t="shared" si="0"/>
        <v>250000</v>
      </c>
      <c r="L21" s="64">
        <f t="shared" si="2"/>
        <v>25000</v>
      </c>
      <c r="O21" s="64">
        <f t="shared" si="3"/>
        <v>25000</v>
      </c>
      <c r="Q21" s="69">
        <f t="shared" si="4"/>
        <v>475000</v>
      </c>
    </row>
    <row r="22" spans="2:17">
      <c r="B22" s="64" t="e">
        <f>VLOOKUP(A22,'اسم الموظف'!A:B,2,FALSE)</f>
        <v>#N/A</v>
      </c>
      <c r="D22" s="69">
        <f t="shared" si="0"/>
        <v>0</v>
      </c>
      <c r="L22" s="64">
        <f t="shared" si="2"/>
        <v>0</v>
      </c>
      <c r="Q22" s="69">
        <f t="shared" si="4"/>
        <v>0</v>
      </c>
    </row>
    <row r="23" spans="2:17">
      <c r="B23" s="64" t="e">
        <f>VLOOKUP(A23,'اسم الموظف'!A:B,2,FALSE)</f>
        <v>#N/A</v>
      </c>
      <c r="D23" s="69">
        <f t="shared" si="0"/>
        <v>0</v>
      </c>
      <c r="L23" s="64">
        <f t="shared" si="2"/>
        <v>0</v>
      </c>
      <c r="Q23" s="69">
        <f t="shared" si="4"/>
        <v>0</v>
      </c>
    </row>
    <row r="24" spans="2:17">
      <c r="B24" s="64" t="e">
        <f>VLOOKUP(A24,'اسم الموظف'!A:B,2,FALSE)</f>
        <v>#N/A</v>
      </c>
      <c r="D24" s="69">
        <f t="shared" si="0"/>
        <v>0</v>
      </c>
      <c r="L24" s="64">
        <f t="shared" si="2"/>
        <v>0</v>
      </c>
      <c r="Q24" s="69">
        <f t="shared" si="4"/>
        <v>0</v>
      </c>
    </row>
    <row r="25" spans="2:17">
      <c r="B25" s="64" t="e">
        <f>VLOOKUP(A25,'اسم الموظف'!A:B,2,FALSE)</f>
        <v>#N/A</v>
      </c>
      <c r="D25" s="69">
        <f t="shared" si="0"/>
        <v>0</v>
      </c>
      <c r="L25" s="64">
        <f t="shared" si="2"/>
        <v>0</v>
      </c>
      <c r="Q25" s="69">
        <f t="shared" si="4"/>
        <v>0</v>
      </c>
    </row>
    <row r="26" spans="2:17">
      <c r="D26" s="69">
        <f t="shared" si="0"/>
        <v>0</v>
      </c>
      <c r="L26" s="64">
        <f t="shared" si="2"/>
        <v>0</v>
      </c>
      <c r="Q26" s="69">
        <f t="shared" si="4"/>
        <v>0</v>
      </c>
    </row>
    <row r="27" spans="2:17">
      <c r="D27" s="69">
        <f t="shared" si="0"/>
        <v>0</v>
      </c>
      <c r="L27" s="64">
        <f t="shared" si="2"/>
        <v>0</v>
      </c>
      <c r="Q27" s="69">
        <f t="shared" si="4"/>
        <v>0</v>
      </c>
    </row>
    <row r="28" spans="2:17">
      <c r="D28" s="69">
        <f t="shared" si="0"/>
        <v>0</v>
      </c>
      <c r="L28" s="64">
        <f t="shared" si="2"/>
        <v>0</v>
      </c>
      <c r="Q28" s="69">
        <f t="shared" si="4"/>
        <v>0</v>
      </c>
    </row>
    <row r="29" spans="2:17">
      <c r="D29" s="69">
        <f t="shared" si="0"/>
        <v>0</v>
      </c>
      <c r="L29" s="64">
        <f t="shared" si="2"/>
        <v>0</v>
      </c>
      <c r="Q29" s="69">
        <f t="shared" si="4"/>
        <v>0</v>
      </c>
    </row>
    <row r="30" spans="2:17">
      <c r="C30" s="64">
        <v>500000</v>
      </c>
      <c r="D30" s="69">
        <f t="shared" si="0"/>
        <v>250000</v>
      </c>
      <c r="L30" s="64">
        <f t="shared" si="2"/>
        <v>25000</v>
      </c>
      <c r="Q30" s="69">
        <f t="shared" si="4"/>
        <v>500000</v>
      </c>
    </row>
    <row r="31" spans="2:17">
      <c r="C31" s="64">
        <v>500000</v>
      </c>
      <c r="D31" s="69">
        <f t="shared" si="0"/>
        <v>250000</v>
      </c>
      <c r="Q31" s="69">
        <f t="shared" ref="Q31:Q33" si="5">C31+I31-O31</f>
        <v>500000</v>
      </c>
    </row>
    <row r="32" spans="2:17">
      <c r="C32" s="64">
        <v>500000</v>
      </c>
      <c r="D32" s="69">
        <f t="shared" si="0"/>
        <v>250000</v>
      </c>
      <c r="Q32" s="69">
        <f t="shared" si="5"/>
        <v>500000</v>
      </c>
    </row>
    <row r="33" spans="3:17">
      <c r="C33" s="64">
        <v>500000</v>
      </c>
      <c r="D33" s="69">
        <f t="shared" si="0"/>
        <v>250000</v>
      </c>
      <c r="Q33" s="69">
        <f t="shared" si="5"/>
        <v>500000</v>
      </c>
    </row>
    <row r="34" spans="3:17">
      <c r="C34" s="64">
        <v>500000</v>
      </c>
      <c r="D34" s="69">
        <f t="shared" si="0"/>
        <v>250000</v>
      </c>
      <c r="Q34" s="69">
        <f t="shared" ref="Q34" si="6">C34+I34-O34</f>
        <v>500000</v>
      </c>
    </row>
    <row r="35" spans="3:17">
      <c r="C35" s="64">
        <v>500000</v>
      </c>
      <c r="D35" s="69">
        <f t="shared" si="0"/>
        <v>250000</v>
      </c>
    </row>
  </sheetData>
  <mergeCells count="3">
    <mergeCell ref="H4:I4"/>
    <mergeCell ref="K4:L4"/>
    <mergeCell ref="O4:P4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D1CD3A-E441-4CF8-9D90-162B1B706821}">
  <dimension ref="C2:F12"/>
  <sheetViews>
    <sheetView rightToLeft="1" workbookViewId="0">
      <selection activeCell="G14" sqref="G14"/>
    </sheetView>
  </sheetViews>
  <sheetFormatPr defaultRowHeight="15"/>
  <sheetData>
    <row r="2" spans="3:6">
      <c r="C2" s="71" t="s">
        <v>53</v>
      </c>
      <c r="D2">
        <v>2</v>
      </c>
    </row>
    <row r="3" spans="3:6">
      <c r="C3" s="71" t="s">
        <v>87</v>
      </c>
    </row>
    <row r="4" spans="3:6">
      <c r="E4" s="65" t="s">
        <v>92</v>
      </c>
    </row>
    <row r="5" spans="3:6">
      <c r="E5" s="66" t="s">
        <v>93</v>
      </c>
    </row>
    <row r="6" spans="3:6">
      <c r="C6" s="65" t="s">
        <v>88</v>
      </c>
      <c r="D6">
        <f>VLOOKUP(D2,'رواتب موضفين'!A:Q,3,FALSE)</f>
        <v>500000</v>
      </c>
      <c r="F6" s="66"/>
    </row>
    <row r="7" spans="3:6">
      <c r="C7" s="65" t="s">
        <v>15</v>
      </c>
      <c r="D7">
        <f>VLOOKUP(D2,'رواتب موضفين'!A:Q,4,FALSE)</f>
        <v>250000</v>
      </c>
      <c r="F7" s="65" t="s">
        <v>94</v>
      </c>
    </row>
    <row r="8" spans="3:6">
      <c r="C8" s="65" t="s">
        <v>16</v>
      </c>
      <c r="D8">
        <f>VLOOKUP(D2,'رواتب موضفين'!A:Q,5,FALSE)</f>
        <v>0</v>
      </c>
      <c r="F8" s="65" t="s">
        <v>23</v>
      </c>
    </row>
    <row r="9" spans="3:6">
      <c r="C9" s="65" t="s">
        <v>89</v>
      </c>
      <c r="D9">
        <f>VLOOKUP(D2,'رواتب موضفين'!A:Q,6,FALSE)</f>
        <v>375000</v>
      </c>
      <c r="F9" s="79" t="s">
        <v>95</v>
      </c>
    </row>
    <row r="10" spans="3:6">
      <c r="C10" s="65" t="s">
        <v>90</v>
      </c>
      <c r="D10">
        <f>VLOOKUP(D2,'رواتب موضفين'!A:Q,7,FALSE)</f>
        <v>0</v>
      </c>
      <c r="F10" s="79"/>
    </row>
    <row r="11" spans="3:6">
      <c r="C11" s="79" t="s">
        <v>91</v>
      </c>
      <c r="F11" s="65" t="s">
        <v>96</v>
      </c>
    </row>
    <row r="12" spans="3:6">
      <c r="C12" s="79"/>
      <c r="D12">
        <f>VLOOKUP(D2,'رواتب موضفين'!A:Q,10,FALSE)</f>
        <v>0</v>
      </c>
    </row>
  </sheetData>
  <mergeCells count="2">
    <mergeCell ref="C11:C12"/>
    <mergeCell ref="F9:F10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5:I20"/>
  <sheetViews>
    <sheetView rightToLeft="1" workbookViewId="0"/>
  </sheetViews>
  <sheetFormatPr defaultRowHeight="15"/>
  <cols>
    <col min="2" max="2" width="17.42578125" customWidth="1"/>
    <col min="3" max="3" width="10.28515625" customWidth="1"/>
    <col min="5" max="5" width="21.28515625" customWidth="1"/>
    <col min="6" max="6" width="9.85546875" bestFit="1" customWidth="1"/>
    <col min="8" max="8" width="18.28515625" customWidth="1"/>
  </cols>
  <sheetData>
    <row r="5" spans="1:9" ht="15.75" thickBot="1"/>
    <row r="6" spans="1:9" ht="20.25" thickBot="1">
      <c r="A6" s="82" t="s">
        <v>28</v>
      </c>
      <c r="B6" s="84" t="s">
        <v>43</v>
      </c>
      <c r="C6" s="84"/>
      <c r="D6" s="82" t="s">
        <v>28</v>
      </c>
      <c r="E6" s="84" t="s">
        <v>38</v>
      </c>
      <c r="F6" s="84"/>
      <c r="G6" s="82" t="s">
        <v>28</v>
      </c>
      <c r="H6" s="84"/>
      <c r="I6" s="84"/>
    </row>
    <row r="7" spans="1:9" ht="20.25" thickBot="1">
      <c r="A7" s="83"/>
      <c r="B7" s="11" t="s">
        <v>31</v>
      </c>
      <c r="C7" s="11" t="s">
        <v>29</v>
      </c>
      <c r="D7" s="83"/>
      <c r="E7" s="11" t="s">
        <v>31</v>
      </c>
      <c r="F7" s="11" t="s">
        <v>29</v>
      </c>
      <c r="G7" s="83"/>
      <c r="H7" s="11" t="s">
        <v>31</v>
      </c>
      <c r="I7" s="11" t="s">
        <v>29</v>
      </c>
    </row>
    <row r="8" spans="1:9" ht="19.5" thickBot="1">
      <c r="A8" s="12">
        <v>1</v>
      </c>
      <c r="B8" s="13"/>
      <c r="C8" s="14"/>
      <c r="D8" s="12">
        <v>1</v>
      </c>
      <c r="E8" s="27">
        <v>300000</v>
      </c>
      <c r="F8" s="14">
        <v>100000</v>
      </c>
      <c r="G8" s="12">
        <v>1</v>
      </c>
      <c r="H8" s="13"/>
      <c r="I8" s="14"/>
    </row>
    <row r="9" spans="1:9" ht="19.5" thickBot="1">
      <c r="A9" s="12">
        <v>2</v>
      </c>
      <c r="B9" s="13"/>
      <c r="C9" s="14"/>
      <c r="D9" s="12">
        <v>2</v>
      </c>
      <c r="E9" s="27"/>
      <c r="F9" s="14"/>
      <c r="G9" s="12">
        <v>2</v>
      </c>
      <c r="H9" s="13"/>
      <c r="I9" s="14"/>
    </row>
    <row r="10" spans="1:9" ht="19.5" thickBot="1">
      <c r="A10" s="12">
        <v>3</v>
      </c>
      <c r="B10" s="13"/>
      <c r="C10" s="14"/>
      <c r="D10" s="12">
        <v>3</v>
      </c>
      <c r="E10" s="27"/>
      <c r="F10" s="14"/>
      <c r="G10" s="12">
        <v>3</v>
      </c>
      <c r="H10" s="13"/>
      <c r="I10" s="14"/>
    </row>
    <row r="11" spans="1:9" ht="19.5" thickBot="1">
      <c r="A11" s="12">
        <v>4</v>
      </c>
      <c r="B11" s="13"/>
      <c r="C11" s="14"/>
      <c r="D11" s="12">
        <v>4</v>
      </c>
      <c r="E11" s="27"/>
      <c r="F11" s="14"/>
      <c r="G11" s="12">
        <v>4</v>
      </c>
      <c r="H11" s="13"/>
      <c r="I11" s="14"/>
    </row>
    <row r="12" spans="1:9" ht="19.5" thickBot="1">
      <c r="A12" s="12">
        <v>5</v>
      </c>
      <c r="B12" s="13"/>
      <c r="C12" s="14"/>
      <c r="D12" s="12">
        <v>5</v>
      </c>
      <c r="E12" s="27"/>
      <c r="F12" s="14"/>
      <c r="G12" s="12">
        <v>5</v>
      </c>
      <c r="H12" s="13"/>
      <c r="I12" s="14"/>
    </row>
    <row r="13" spans="1:9" ht="19.5" thickBot="1">
      <c r="A13" s="12">
        <v>6</v>
      </c>
      <c r="B13" s="13"/>
      <c r="C13" s="14"/>
      <c r="D13" s="12">
        <v>6</v>
      </c>
      <c r="E13" s="27"/>
      <c r="F13" s="14"/>
      <c r="G13" s="12">
        <v>6</v>
      </c>
      <c r="H13" s="13"/>
      <c r="I13" s="14"/>
    </row>
    <row r="14" spans="1:9" ht="19.5" thickBot="1">
      <c r="A14" s="12">
        <v>7</v>
      </c>
      <c r="B14" s="13"/>
      <c r="C14" s="14"/>
      <c r="D14" s="12">
        <v>7</v>
      </c>
      <c r="E14" s="27"/>
      <c r="F14" s="14"/>
      <c r="G14" s="12">
        <v>7</v>
      </c>
      <c r="H14" s="13"/>
      <c r="I14" s="14"/>
    </row>
    <row r="15" spans="1:9" ht="19.5" thickBot="1">
      <c r="A15" s="12">
        <v>8</v>
      </c>
      <c r="B15" s="13"/>
      <c r="C15" s="14"/>
      <c r="D15" s="12">
        <v>8</v>
      </c>
      <c r="E15" s="27"/>
      <c r="F15" s="14"/>
      <c r="G15" s="12">
        <v>8</v>
      </c>
      <c r="H15" s="13"/>
      <c r="I15" s="14"/>
    </row>
    <row r="16" spans="1:9" ht="19.5" thickBot="1">
      <c r="A16" s="12">
        <v>9</v>
      </c>
      <c r="B16" s="13"/>
      <c r="C16" s="14"/>
      <c r="D16" s="12">
        <v>9</v>
      </c>
      <c r="E16" s="27"/>
      <c r="F16" s="14"/>
      <c r="G16" s="12">
        <v>9</v>
      </c>
      <c r="H16" s="13"/>
      <c r="I16" s="14"/>
    </row>
    <row r="17" spans="1:9" ht="19.5" thickBot="1">
      <c r="A17" s="12">
        <v>10</v>
      </c>
      <c r="B17" s="13"/>
      <c r="C17" s="14"/>
      <c r="D17" s="12">
        <v>10</v>
      </c>
      <c r="E17" s="27"/>
      <c r="F17" s="14"/>
      <c r="G17" s="12">
        <v>10</v>
      </c>
      <c r="H17" s="13"/>
      <c r="I17" s="14"/>
    </row>
    <row r="18" spans="1:9" ht="19.5" thickBot="1">
      <c r="A18" s="12">
        <v>11</v>
      </c>
      <c r="B18" s="13"/>
      <c r="C18" s="14"/>
      <c r="D18" s="12">
        <v>11</v>
      </c>
      <c r="E18" s="27"/>
      <c r="F18" s="14"/>
      <c r="G18" s="12">
        <v>11</v>
      </c>
      <c r="H18" s="13"/>
      <c r="I18" s="14"/>
    </row>
    <row r="19" spans="1:9" ht="19.5" thickBot="1">
      <c r="A19" s="12">
        <v>12</v>
      </c>
      <c r="B19" s="13"/>
      <c r="C19" s="14"/>
      <c r="D19" s="12">
        <v>12</v>
      </c>
      <c r="E19" s="27"/>
      <c r="F19" s="14"/>
      <c r="G19" s="12">
        <v>12</v>
      </c>
      <c r="H19" s="13"/>
      <c r="I19" s="14"/>
    </row>
    <row r="20" spans="1:9" ht="19.5" thickBot="1">
      <c r="A20" s="80" t="s">
        <v>30</v>
      </c>
      <c r="B20" s="81"/>
      <c r="C20" s="15">
        <f>SUM(C8:C19)</f>
        <v>0</v>
      </c>
      <c r="D20" s="80" t="s">
        <v>30</v>
      </c>
      <c r="E20" s="81"/>
      <c r="F20" s="15">
        <f>SUM(F8:F19)</f>
        <v>100000</v>
      </c>
      <c r="G20" s="80" t="s">
        <v>30</v>
      </c>
      <c r="H20" s="81"/>
      <c r="I20" s="15">
        <f>SUM(I8:I19)</f>
        <v>0</v>
      </c>
    </row>
  </sheetData>
  <mergeCells count="9">
    <mergeCell ref="A20:B20"/>
    <mergeCell ref="D20:E20"/>
    <mergeCell ref="G20:H20"/>
    <mergeCell ref="A6:A7"/>
    <mergeCell ref="B6:C6"/>
    <mergeCell ref="D6:D7"/>
    <mergeCell ref="E6:F6"/>
    <mergeCell ref="G6:G7"/>
    <mergeCell ref="H6:I6"/>
  </mergeCells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"/>
  <sheetViews>
    <sheetView workbookViewId="0">
      <selection activeCell="G6" sqref="G6"/>
    </sheetView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HOME</vt:lpstr>
      <vt:lpstr>ادارة المشتريات</vt:lpstr>
      <vt:lpstr>ادارة المبيعات</vt:lpstr>
      <vt:lpstr>كود الموظف</vt:lpstr>
      <vt:lpstr>اسم الموظف</vt:lpstr>
      <vt:lpstr>رواتب الموظفين</vt:lpstr>
      <vt:lpstr>رواتب موضفين</vt:lpstr>
      <vt:lpstr>كودي موضف</vt:lpstr>
      <vt:lpstr>سلف الموظفين</vt:lpstr>
      <vt:lpstr>حضور وغياب الموظف</vt:lpstr>
    </vt:vector>
  </TitlesOfParts>
  <Company>Microsoft (C)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a13196</cp:lastModifiedBy>
  <dcterms:created xsi:type="dcterms:W3CDTF">2022-12-29T11:20:24Z</dcterms:created>
  <dcterms:modified xsi:type="dcterms:W3CDTF">2026-02-19T17:46:08Z</dcterms:modified>
</cp:coreProperties>
</file>