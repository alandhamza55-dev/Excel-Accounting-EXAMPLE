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412f48132263d2/Documents/"/>
    </mc:Choice>
  </mc:AlternateContent>
  <xr:revisionPtr revIDLastSave="0" documentId="8_{81250507-498B-45AB-B3D7-75B88F7CA684}" xr6:coauthVersionLast="47" xr6:coauthVersionMax="47" xr10:uidLastSave="{00000000-0000-0000-0000-000000000000}"/>
  <bookViews>
    <workbookView xWindow="-120" yWindow="-120" windowWidth="20730" windowHeight="11040" activeTab="3" xr2:uid="{80F36170-DFEC-4839-8071-BD74307445E7}"/>
  </bookViews>
  <sheets>
    <sheet name="home" sheetId="1" r:id="rId1"/>
    <sheet name="chart of account" sheetId="2" r:id="rId2"/>
    <sheet name="دفتر استاذ" sheetId="4" r:id="rId3"/>
    <sheet name="ميزانية مراجعة" sheetId="5" r:id="rId4"/>
    <sheet name="قيد افتتاحي و قيود اليومية" sheetId="3" r:id="rId5"/>
  </sheets>
  <definedNames>
    <definedName name="_xlnm._FilterDatabase" localSheetId="2" hidden="1">'دفتر استاذ'!$A$4:$G$5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5" l="1"/>
  <c r="D8" i="5"/>
  <c r="D9" i="5"/>
  <c r="D10" i="5"/>
  <c r="D11" i="5"/>
  <c r="D12" i="5"/>
  <c r="D13" i="5"/>
  <c r="D14" i="5"/>
  <c r="D15" i="5"/>
  <c r="D6" i="5"/>
  <c r="C7" i="5"/>
  <c r="C8" i="5"/>
  <c r="C9" i="5"/>
  <c r="C10" i="5"/>
  <c r="C11" i="5"/>
  <c r="C12" i="5"/>
  <c r="C13" i="5"/>
  <c r="C14" i="5"/>
  <c r="C15" i="5"/>
  <c r="C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6" i="5"/>
  <c r="B6" i="5" s="1"/>
  <c r="E2" i="4"/>
  <c r="E16" i="4"/>
  <c r="E15" i="4"/>
  <c r="E14" i="4"/>
  <c r="E13" i="4"/>
  <c r="E12" i="4"/>
  <c r="E11" i="4"/>
  <c r="E10" i="4"/>
  <c r="E9" i="4"/>
  <c r="E8" i="4"/>
  <c r="E7" i="4"/>
  <c r="E6" i="4"/>
  <c r="G3" i="4"/>
  <c r="F3" i="4"/>
  <c r="F2" i="4" s="1"/>
  <c r="F2" i="3"/>
  <c r="G3" i="3"/>
  <c r="F3" i="3"/>
  <c r="E11" i="3"/>
  <c r="E12" i="3"/>
  <c r="E13" i="3"/>
  <c r="E14" i="3"/>
  <c r="E15" i="3"/>
  <c r="E16" i="3"/>
  <c r="E10" i="3"/>
  <c r="E7" i="3"/>
  <c r="E8" i="3"/>
  <c r="E9" i="3"/>
  <c r="E6" i="3"/>
</calcChain>
</file>

<file path=xl/sharedStrings.xml><?xml version="1.0" encoding="utf-8"?>
<sst xmlns="http://schemas.openxmlformats.org/spreadsheetml/2006/main" count="35" uniqueCount="19">
  <si>
    <t>a</t>
  </si>
  <si>
    <t>زمارة</t>
  </si>
  <si>
    <t>دليل الحساب</t>
  </si>
  <si>
    <t>موجودات المتداولة</t>
  </si>
  <si>
    <t>صندوق</t>
  </si>
  <si>
    <t>البنك</t>
  </si>
  <si>
    <t>المدينون</t>
  </si>
  <si>
    <t>زبائن</t>
  </si>
  <si>
    <t>بضاعة اول مدة</t>
  </si>
  <si>
    <t>رقم الوصل</t>
  </si>
  <si>
    <t>تاريخ</t>
  </si>
  <si>
    <t>البيانات</t>
  </si>
  <si>
    <t>كود</t>
  </si>
  <si>
    <t>اسم الحساب</t>
  </si>
  <si>
    <t>مدين</t>
  </si>
  <si>
    <t>دائن</t>
  </si>
  <si>
    <t xml:space="preserve"> اجمالي</t>
  </si>
  <si>
    <t xml:space="preserve"> بالجاميع</t>
  </si>
  <si>
    <t xml:space="preserve"> بارصيدة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</si>
</sst>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1" applyFill="1"/>
    <xf numFmtId="0" fontId="0" fillId="0" borderId="1" xfId="0" applyBorder="1"/>
    <xf numFmtId="0" fontId="2" fillId="2" borderId="1" xfId="0" applyFont="1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'&#1602;&#1610;&#1583; &#1575;&#1601;&#1578;&#1578;&#1575;&#1581;&#1610; &#1608; &#1602;&#1610;&#1608;&#1583; &#1575;&#1604;&#1610;&#1608;&#1605;&#1610;&#1577;'!A1"/><Relationship Id="rId1" Type="http://schemas.openxmlformats.org/officeDocument/2006/relationships/hyperlink" Target="#'chart of account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2</xdr:row>
      <xdr:rowOff>171450</xdr:rowOff>
    </xdr:from>
    <xdr:to>
      <xdr:col>3</xdr:col>
      <xdr:colOff>352425</xdr:colOff>
      <xdr:row>6</xdr:row>
      <xdr:rowOff>47625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C7AE8C-341A-B967-C10C-7DBFBE12B9BD}"/>
            </a:ext>
          </a:extLst>
        </xdr:cNvPr>
        <xdr:cNvSpPr/>
      </xdr:nvSpPr>
      <xdr:spPr>
        <a:xfrm>
          <a:off x="9985505175" y="552450"/>
          <a:ext cx="2047875" cy="6381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IQ" sz="3600"/>
            <a:t>دليل الحساب</a:t>
          </a:r>
          <a:endParaRPr lang="en-US" sz="3600"/>
        </a:p>
      </xdr:txBody>
    </xdr:sp>
    <xdr:clientData/>
  </xdr:twoCellAnchor>
  <xdr:twoCellAnchor>
    <xdr:from>
      <xdr:col>3</xdr:col>
      <xdr:colOff>514350</xdr:colOff>
      <xdr:row>3</xdr:row>
      <xdr:rowOff>57150</xdr:rowOff>
    </xdr:from>
    <xdr:to>
      <xdr:col>8</xdr:col>
      <xdr:colOff>561974</xdr:colOff>
      <xdr:row>6</xdr:row>
      <xdr:rowOff>57149</xdr:rowOff>
    </xdr:to>
    <xdr:sp macro="" textlink="">
      <xdr:nvSpPr>
        <xdr:cNvPr id="3" name="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498CB02-477F-4ED5-E185-BCAAC778AA5B}"/>
            </a:ext>
          </a:extLst>
        </xdr:cNvPr>
        <xdr:cNvSpPr/>
      </xdr:nvSpPr>
      <xdr:spPr>
        <a:xfrm>
          <a:off x="9982247626" y="628650"/>
          <a:ext cx="3095624" cy="57149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IQ" sz="2800"/>
            <a:t>قيد افتتاحي و قيود اليومية</a:t>
          </a:r>
          <a:endParaRPr lang="en-US" sz="2800"/>
        </a:p>
      </xdr:txBody>
    </xdr:sp>
    <xdr:clientData/>
  </xdr:twoCellAnchor>
  <xdr:twoCellAnchor>
    <xdr:from>
      <xdr:col>9</xdr:col>
      <xdr:colOff>57149</xdr:colOff>
      <xdr:row>3</xdr:row>
      <xdr:rowOff>171450</xdr:rowOff>
    </xdr:from>
    <xdr:to>
      <xdr:col>11</xdr:col>
      <xdr:colOff>476249</xdr:colOff>
      <xdr:row>6</xdr:row>
      <xdr:rowOff>190499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D3F14EE-1051-FF77-F6E1-D3625196F1D8}"/>
            </a:ext>
          </a:extLst>
        </xdr:cNvPr>
        <xdr:cNvSpPr/>
      </xdr:nvSpPr>
      <xdr:spPr>
        <a:xfrm>
          <a:off x="9980504551" y="742950"/>
          <a:ext cx="1638300" cy="59054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IQ" sz="3200"/>
            <a:t>دفتر استاذ</a:t>
          </a:r>
          <a:endParaRPr lang="en-US" sz="3200"/>
        </a:p>
      </xdr:txBody>
    </xdr:sp>
    <xdr:clientData/>
  </xdr:twoCellAnchor>
  <xdr:twoCellAnchor>
    <xdr:from>
      <xdr:col>12</xdr:col>
      <xdr:colOff>38100</xdr:colOff>
      <xdr:row>3</xdr:row>
      <xdr:rowOff>171449</xdr:rowOff>
    </xdr:from>
    <xdr:to>
      <xdr:col>15</xdr:col>
      <xdr:colOff>600075</xdr:colOff>
      <xdr:row>6</xdr:row>
      <xdr:rowOff>161924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9825A00-2955-D817-B5FC-F9BBAD966AE6}"/>
            </a:ext>
          </a:extLst>
        </xdr:cNvPr>
        <xdr:cNvSpPr/>
      </xdr:nvSpPr>
      <xdr:spPr>
        <a:xfrm>
          <a:off x="9977942325" y="742949"/>
          <a:ext cx="2390775" cy="5619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IQ" sz="3200"/>
            <a:t>ميزانية المراجعة</a:t>
          </a:r>
          <a:endParaRPr lang="en-US" sz="3200"/>
        </a:p>
      </xdr:txBody>
    </xdr:sp>
    <xdr:clientData/>
  </xdr:twoCellAnchor>
  <xdr:twoCellAnchor>
    <xdr:from>
      <xdr:col>16</xdr:col>
      <xdr:colOff>114300</xdr:colOff>
      <xdr:row>4</xdr:row>
      <xdr:rowOff>38100</xdr:rowOff>
    </xdr:from>
    <xdr:to>
      <xdr:col>18</xdr:col>
      <xdr:colOff>571500</xdr:colOff>
      <xdr:row>6</xdr:row>
      <xdr:rowOff>161925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6BF1194-04B1-BFD8-1C19-EEE043EBCABD}"/>
            </a:ext>
          </a:extLst>
        </xdr:cNvPr>
        <xdr:cNvSpPr/>
      </xdr:nvSpPr>
      <xdr:spPr>
        <a:xfrm>
          <a:off x="9976142100" y="800100"/>
          <a:ext cx="1676400" cy="5048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IQ" sz="3200"/>
            <a:t>قائمة الدخل</a:t>
          </a:r>
          <a:endParaRPr lang="en-US" sz="3200"/>
        </a:p>
      </xdr:txBody>
    </xdr:sp>
    <xdr:clientData/>
  </xdr:twoCellAnchor>
  <xdr:twoCellAnchor>
    <xdr:from>
      <xdr:col>0</xdr:col>
      <xdr:colOff>0</xdr:colOff>
      <xdr:row>8</xdr:row>
      <xdr:rowOff>38100</xdr:rowOff>
    </xdr:from>
    <xdr:to>
      <xdr:col>5</xdr:col>
      <xdr:colOff>438150</xdr:colOff>
      <xdr:row>12</xdr:row>
      <xdr:rowOff>85725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0F01C91-4ED1-7E69-2E6B-450E040C555C}"/>
            </a:ext>
          </a:extLst>
        </xdr:cNvPr>
        <xdr:cNvSpPr/>
      </xdr:nvSpPr>
      <xdr:spPr>
        <a:xfrm>
          <a:off x="9984200250" y="1562100"/>
          <a:ext cx="3486150" cy="8096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IQ" sz="4000"/>
            <a:t>قائمة المركز المالي</a:t>
          </a:r>
          <a:endParaRPr lang="en-US" sz="40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1</xdr:row>
      <xdr:rowOff>171450</xdr:rowOff>
    </xdr:from>
    <xdr:to>
      <xdr:col>10</xdr:col>
      <xdr:colOff>276225</xdr:colOff>
      <xdr:row>6</xdr:row>
      <xdr:rowOff>47625</xdr:rowOff>
    </xdr:to>
    <xdr:sp macro="" textlink="">
      <xdr:nvSpPr>
        <xdr:cNvPr id="2" name="Ov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AB39ED-7AFE-9095-176F-2876A2B14E06}"/>
            </a:ext>
          </a:extLst>
        </xdr:cNvPr>
        <xdr:cNvSpPr/>
      </xdr:nvSpPr>
      <xdr:spPr>
        <a:xfrm>
          <a:off x="9981314175" y="361950"/>
          <a:ext cx="2095500" cy="8286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en-US" sz="4000"/>
            <a:t>home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400050</xdr:colOff>
      <xdr:row>2</xdr:row>
      <xdr:rowOff>114300</xdr:rowOff>
    </xdr:from>
    <xdr:to>
      <xdr:col>12</xdr:col>
      <xdr:colOff>142875</xdr:colOff>
      <xdr:row>7</xdr:row>
      <xdr:rowOff>66675</xdr:rowOff>
    </xdr:to>
    <xdr:sp macro="" textlink="">
      <xdr:nvSpPr>
        <xdr:cNvPr id="2" name="Ov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8A69ED-96E0-4731-B08D-855CA370882C}"/>
            </a:ext>
          </a:extLst>
        </xdr:cNvPr>
        <xdr:cNvSpPr/>
      </xdr:nvSpPr>
      <xdr:spPr>
        <a:xfrm>
          <a:off x="9980228325" y="495300"/>
          <a:ext cx="2181225" cy="9048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en-US" sz="4000"/>
            <a:t>home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400050</xdr:colOff>
      <xdr:row>2</xdr:row>
      <xdr:rowOff>114300</xdr:rowOff>
    </xdr:from>
    <xdr:to>
      <xdr:col>12</xdr:col>
      <xdr:colOff>142875</xdr:colOff>
      <xdr:row>7</xdr:row>
      <xdr:rowOff>66675</xdr:rowOff>
    </xdr:to>
    <xdr:sp macro="" textlink="">
      <xdr:nvSpPr>
        <xdr:cNvPr id="2" name="Ov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A15764-33F2-23DA-BAFE-92DE21EAD546}"/>
            </a:ext>
          </a:extLst>
        </xdr:cNvPr>
        <xdr:cNvSpPr/>
      </xdr:nvSpPr>
      <xdr:spPr>
        <a:xfrm>
          <a:off x="9980228325" y="495300"/>
          <a:ext cx="2181225" cy="9048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en-US" sz="4000"/>
            <a:t>home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4BFE-B4E1-4A77-8935-EA098C5AED48}">
  <dimension ref="M11"/>
  <sheetViews>
    <sheetView rightToLeft="1" workbookViewId="0">
      <selection activeCell="H14" sqref="H14"/>
    </sheetView>
  </sheetViews>
  <sheetFormatPr defaultRowHeight="15" x14ac:dyDescent="0.25"/>
  <cols>
    <col min="1" max="16384" width="9.140625" style="1"/>
  </cols>
  <sheetData>
    <row r="11" spans="13:13" x14ac:dyDescent="0.25">
      <c r="M1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52112-8EB5-4623-8F08-3EA4AD9C362D}">
  <dimension ref="A3:C9"/>
  <sheetViews>
    <sheetView rightToLeft="1" workbookViewId="0">
      <selection activeCell="G10" sqref="G10"/>
    </sheetView>
  </sheetViews>
  <sheetFormatPr defaultRowHeight="15" x14ac:dyDescent="0.25"/>
  <sheetData>
    <row r="3" spans="1:3" x14ac:dyDescent="0.25">
      <c r="A3" s="2" t="s">
        <v>1</v>
      </c>
      <c r="B3" s="3" t="s">
        <v>2</v>
      </c>
      <c r="C3" s="2"/>
    </row>
    <row r="4" spans="1:3" x14ac:dyDescent="0.25">
      <c r="A4" s="2">
        <v>1</v>
      </c>
      <c r="B4" s="2" t="s">
        <v>3</v>
      </c>
      <c r="C4" s="2"/>
    </row>
    <row r="5" spans="1:3" x14ac:dyDescent="0.25">
      <c r="A5" s="2">
        <v>11</v>
      </c>
      <c r="B5" s="2" t="s">
        <v>4</v>
      </c>
      <c r="C5" s="2"/>
    </row>
    <row r="6" spans="1:3" x14ac:dyDescent="0.25">
      <c r="A6" s="2">
        <v>12</v>
      </c>
      <c r="B6" s="2" t="s">
        <v>5</v>
      </c>
      <c r="C6" s="2"/>
    </row>
    <row r="7" spans="1:3" x14ac:dyDescent="0.25">
      <c r="A7" s="2">
        <v>13</v>
      </c>
      <c r="B7" s="2" t="s">
        <v>6</v>
      </c>
      <c r="C7" s="2"/>
    </row>
    <row r="8" spans="1:3" x14ac:dyDescent="0.25">
      <c r="A8" s="2">
        <v>14</v>
      </c>
      <c r="B8" s="2" t="s">
        <v>7</v>
      </c>
      <c r="C8" s="2"/>
    </row>
    <row r="9" spans="1:3" x14ac:dyDescent="0.25">
      <c r="A9" s="2">
        <v>15</v>
      </c>
      <c r="B9" s="2" t="s">
        <v>8</v>
      </c>
      <c r="C9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5ECA2-8679-4574-82CC-4AF838BC8FDF}">
  <dimension ref="A1:G16"/>
  <sheetViews>
    <sheetView rightToLeft="1" workbookViewId="0">
      <selection activeCell="A5" sqref="A4:G5"/>
    </sheetView>
  </sheetViews>
  <sheetFormatPr defaultRowHeight="15" x14ac:dyDescent="0.25"/>
  <sheetData>
    <row r="1" spans="1:7" x14ac:dyDescent="0.25">
      <c r="D1" s="2" t="s">
        <v>12</v>
      </c>
      <c r="E1" s="2" t="s">
        <v>13</v>
      </c>
    </row>
    <row r="2" spans="1:7" x14ac:dyDescent="0.25">
      <c r="D2">
        <v>13</v>
      </c>
      <c r="E2" t="str">
        <f>VLOOKUP('دفتر استاذ'!D2,'chart of account'!A:B,2,FALSE)</f>
        <v>المدينون</v>
      </c>
      <c r="F2" s="4" t="b">
        <f>E3=F3</f>
        <v>1</v>
      </c>
      <c r="G2" s="4"/>
    </row>
    <row r="3" spans="1:7" x14ac:dyDescent="0.25">
      <c r="F3">
        <f>SUM(F6:F1300)</f>
        <v>0</v>
      </c>
      <c r="G3">
        <f>SUM(G6:G1300)</f>
        <v>0</v>
      </c>
    </row>
    <row r="4" spans="1:7" x14ac:dyDescent="0.25">
      <c r="A4" s="2"/>
      <c r="B4" s="2"/>
      <c r="C4" s="2"/>
      <c r="D4" s="2"/>
      <c r="E4" s="2"/>
      <c r="F4" s="5" t="s">
        <v>16</v>
      </c>
      <c r="G4" s="5"/>
    </row>
    <row r="5" spans="1:7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</row>
    <row r="6" spans="1:7" x14ac:dyDescent="0.25">
      <c r="D6">
        <v>13</v>
      </c>
      <c r="E6" t="str">
        <f>VLOOKUP('دفتر استاذ'!D6,'chart of account'!A:B,2,FALSE)</f>
        <v>المدينون</v>
      </c>
    </row>
    <row r="7" spans="1:7" x14ac:dyDescent="0.25">
      <c r="E7" t="e">
        <f>VLOOKUP('دفتر استاذ'!D7,'chart of account'!A:B,2,FALSE)</f>
        <v>#N/A</v>
      </c>
    </row>
    <row r="8" spans="1:7" x14ac:dyDescent="0.25">
      <c r="E8" t="e">
        <f>VLOOKUP('دفتر استاذ'!D8,'chart of account'!A:B,2,FALSE)</f>
        <v>#N/A</v>
      </c>
    </row>
    <row r="9" spans="1:7" x14ac:dyDescent="0.25">
      <c r="D9">
        <v>12</v>
      </c>
      <c r="E9" t="str">
        <f>VLOOKUP('دفتر استاذ'!D9,'chart of account'!A:B,2,FALSE)</f>
        <v>البنك</v>
      </c>
    </row>
    <row r="10" spans="1:7" x14ac:dyDescent="0.25">
      <c r="E10" t="e">
        <f>VLOOKUP('دفتر استاذ'!D10,'chart of account'!A:B,2,FALSE)</f>
        <v>#N/A</v>
      </c>
    </row>
    <row r="11" spans="1:7" x14ac:dyDescent="0.25">
      <c r="D11">
        <v>11</v>
      </c>
      <c r="E11" t="str">
        <f>VLOOKUP('دفتر استاذ'!D11,'chart of account'!A:B,2,FALSE)</f>
        <v>صندوق</v>
      </c>
    </row>
    <row r="12" spans="1:7" x14ac:dyDescent="0.25">
      <c r="E12" t="e">
        <f>VLOOKUP('دفتر استاذ'!D12,'chart of account'!A:B,2,FALSE)</f>
        <v>#N/A</v>
      </c>
    </row>
    <row r="13" spans="1:7" x14ac:dyDescent="0.25">
      <c r="E13" t="e">
        <f>VLOOKUP('دفتر استاذ'!D13,'chart of account'!A:B,2,FALSE)</f>
        <v>#N/A</v>
      </c>
    </row>
    <row r="14" spans="1:7" x14ac:dyDescent="0.25">
      <c r="E14" t="e">
        <f>VLOOKUP('دفتر استاذ'!D14,'chart of account'!A:B,2,FALSE)</f>
        <v>#N/A</v>
      </c>
    </row>
    <row r="15" spans="1:7" x14ac:dyDescent="0.25">
      <c r="E15" t="e">
        <f>VLOOKUP('دفتر استاذ'!D15,'chart of account'!A:B,2,FALSE)</f>
        <v>#N/A</v>
      </c>
    </row>
    <row r="16" spans="1:7" x14ac:dyDescent="0.25">
      <c r="E16" t="e">
        <f>VLOOKUP('دفتر استاذ'!D16,'chart of account'!A:B,2,FALSE)</f>
        <v>#N/A</v>
      </c>
    </row>
  </sheetData>
  <autoFilter ref="A4:G5" xr:uid="{EBD5ECA2-8679-4574-82CC-4AF838BC8FDF}">
    <filterColumn colId="5" showButton="0"/>
  </autoFilter>
  <mergeCells count="2">
    <mergeCell ref="F2:G2"/>
    <mergeCell ref="F4:G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9750C-3C2E-49EE-8B12-6DBA1AA7EC6C}">
  <dimension ref="A4:F15"/>
  <sheetViews>
    <sheetView rightToLeft="1" tabSelected="1" workbookViewId="0">
      <selection activeCell="H4" sqref="H4"/>
    </sheetView>
  </sheetViews>
  <sheetFormatPr defaultRowHeight="15" x14ac:dyDescent="0.25"/>
  <sheetData>
    <row r="4" spans="1:6" x14ac:dyDescent="0.25">
      <c r="A4" s="6"/>
      <c r="B4" s="6"/>
      <c r="C4" s="7" t="s">
        <v>17</v>
      </c>
      <c r="D4" s="7"/>
      <c r="E4" s="7" t="s">
        <v>18</v>
      </c>
      <c r="F4" s="7"/>
    </row>
    <row r="5" spans="1:6" x14ac:dyDescent="0.25">
      <c r="A5" s="6" t="s">
        <v>12</v>
      </c>
      <c r="B5" s="6" t="s">
        <v>13</v>
      </c>
      <c r="C5" s="6" t="s">
        <v>14</v>
      </c>
      <c r="D5" s="6" t="s">
        <v>15</v>
      </c>
      <c r="E5" s="6" t="s">
        <v>14</v>
      </c>
      <c r="F5" s="6" t="s">
        <v>15</v>
      </c>
    </row>
    <row r="6" spans="1:6" x14ac:dyDescent="0.25">
      <c r="A6">
        <f>'chart of account'!A4</f>
        <v>1</v>
      </c>
      <c r="B6" t="str">
        <f>VLOOKUP(A6,'chart of account'!A:B,2,FALSE)</f>
        <v>موجودات المتداولة</v>
      </c>
      <c r="C6">
        <f>SUMIF('قيد افتتاحي و قيود اليومية'!E:E,'ميزانية مراجعة'!B7,'قيد افتتاحي و قيود اليومية'!F:F)</f>
        <v>0</v>
      </c>
      <c r="D6">
        <f>SUMIF('قيد افتتاحي و قيود اليومية'!E:E,'ميزانية مراجعة'!B7,'قيد افتتاحي و قيود اليومية'!G:G)</f>
        <v>0</v>
      </c>
    </row>
    <row r="7" spans="1:6" x14ac:dyDescent="0.25">
      <c r="A7">
        <f>'chart of account'!A5</f>
        <v>11</v>
      </c>
      <c r="B7" t="str">
        <f>VLOOKUP(A7,'chart of account'!A:B,2,FALSE)</f>
        <v>صندوق</v>
      </c>
      <c r="C7">
        <f>SUMIF('قيد افتتاحي و قيود اليومية'!E:E,'ميزانية مراجعة'!B8,'قيد افتتاحي و قيود اليومية'!F:F)</f>
        <v>0</v>
      </c>
      <c r="D7">
        <f>SUMIF('قيد افتتاحي و قيود اليومية'!E:E,'ميزانية مراجعة'!B8,'قيد افتتاحي و قيود اليومية'!G:G)</f>
        <v>0</v>
      </c>
    </row>
    <row r="8" spans="1:6" x14ac:dyDescent="0.25">
      <c r="A8">
        <f>'chart of account'!A6</f>
        <v>12</v>
      </c>
      <c r="B8" t="str">
        <f>VLOOKUP(A8,'chart of account'!A:B,2,FALSE)</f>
        <v>البنك</v>
      </c>
      <c r="C8">
        <f>SUMIF('قيد افتتاحي و قيود اليومية'!E:E,'ميزانية مراجعة'!B9,'قيد افتتاحي و قيود اليومية'!F:F)</f>
        <v>0</v>
      </c>
      <c r="D8">
        <f>SUMIF('قيد افتتاحي و قيود اليومية'!E:E,'ميزانية مراجعة'!B9,'قيد افتتاحي و قيود اليومية'!G:G)</f>
        <v>0</v>
      </c>
    </row>
    <row r="9" spans="1:6" x14ac:dyDescent="0.25">
      <c r="A9">
        <f>'chart of account'!A7</f>
        <v>13</v>
      </c>
      <c r="B9" t="str">
        <f>VLOOKUP(A9,'chart of account'!A:B,2,FALSE)</f>
        <v>المدينون</v>
      </c>
      <c r="C9">
        <f>SUMIF('قيد افتتاحي و قيود اليومية'!E:E,'ميزانية مراجعة'!B10,'قيد افتتاحي و قيود اليومية'!F:F)</f>
        <v>0</v>
      </c>
      <c r="D9">
        <f>SUMIF('قيد افتتاحي و قيود اليومية'!E:E,'ميزانية مراجعة'!B10,'قيد افتتاحي و قيود اليومية'!G:G)</f>
        <v>0</v>
      </c>
    </row>
    <row r="10" spans="1:6" x14ac:dyDescent="0.25">
      <c r="A10">
        <f>'chart of account'!A8</f>
        <v>14</v>
      </c>
      <c r="B10" t="str">
        <f>VLOOKUP(A10,'chart of account'!A:B,2,FALSE)</f>
        <v>زبائن</v>
      </c>
      <c r="C10">
        <f>SUMIF('قيد افتتاحي و قيود اليومية'!E:E,'ميزانية مراجعة'!B11,'قيد افتتاحي و قيود اليومية'!F:F)</f>
        <v>0</v>
      </c>
      <c r="D10">
        <f>SUMIF('قيد افتتاحي و قيود اليومية'!E:E,'ميزانية مراجعة'!B11,'قيد افتتاحي و قيود اليومية'!G:G)</f>
        <v>0</v>
      </c>
    </row>
    <row r="11" spans="1:6" x14ac:dyDescent="0.25">
      <c r="A11">
        <f>'chart of account'!A9</f>
        <v>15</v>
      </c>
      <c r="B11" t="str">
        <f>VLOOKUP(A11,'chart of account'!A:B,2,FALSE)</f>
        <v>بضاعة اول مدة</v>
      </c>
      <c r="C11">
        <f>SUMIF('قيد افتتاحي و قيود اليومية'!E:E,'ميزانية مراجعة'!B12,'قيد افتتاحي و قيود اليومية'!F:F)</f>
        <v>0</v>
      </c>
      <c r="D11">
        <f>SUMIF('قيد افتتاحي و قيود اليومية'!E:E,'ميزانية مراجعة'!B12,'قيد افتتاحي و قيود اليومية'!G:G)</f>
        <v>0</v>
      </c>
    </row>
    <row r="12" spans="1:6" x14ac:dyDescent="0.25">
      <c r="A12">
        <f>'chart of account'!A10</f>
        <v>0</v>
      </c>
      <c r="B12" t="e">
        <f>VLOOKUP(A12,'chart of account'!A:B,2,FALSE)</f>
        <v>#N/A</v>
      </c>
      <c r="C12">
        <f>SUMIF('قيد افتتاحي و قيود اليومية'!E:E,'ميزانية مراجعة'!B13,'قيد افتتاحي و قيود اليومية'!F:F)</f>
        <v>0</v>
      </c>
      <c r="D12">
        <f>SUMIF('قيد افتتاحي و قيود اليومية'!E:E,'ميزانية مراجعة'!B13,'قيد افتتاحي و قيود اليومية'!G:G)</f>
        <v>0</v>
      </c>
    </row>
    <row r="13" spans="1:6" x14ac:dyDescent="0.25">
      <c r="A13">
        <f>'chart of account'!A11</f>
        <v>0</v>
      </c>
      <c r="B13" t="e">
        <f>VLOOKUP(A13,'chart of account'!A:B,2,FALSE)</f>
        <v>#N/A</v>
      </c>
      <c r="C13">
        <f>SUMIF('قيد افتتاحي و قيود اليومية'!E:E,'ميزانية مراجعة'!B14,'قيد افتتاحي و قيود اليومية'!F:F)</f>
        <v>0</v>
      </c>
      <c r="D13">
        <f>SUMIF('قيد افتتاحي و قيود اليومية'!E:E,'ميزانية مراجعة'!B14,'قيد افتتاحي و قيود اليومية'!G:G)</f>
        <v>0</v>
      </c>
    </row>
    <row r="14" spans="1:6" x14ac:dyDescent="0.25">
      <c r="A14">
        <f>'chart of account'!A12</f>
        <v>0</v>
      </c>
      <c r="B14" t="e">
        <f>VLOOKUP(A14,'chart of account'!A:B,2,FALSE)</f>
        <v>#N/A</v>
      </c>
      <c r="C14">
        <f>SUMIF('قيد افتتاحي و قيود اليومية'!E:E,'ميزانية مراجعة'!B15,'قيد افتتاحي و قيود اليومية'!F:F)</f>
        <v>0</v>
      </c>
      <c r="D14">
        <f>SUMIF('قيد افتتاحي و قيود اليومية'!E:E,'ميزانية مراجعة'!B15,'قيد افتتاحي و قيود اليومية'!G:G)</f>
        <v>0</v>
      </c>
    </row>
    <row r="15" spans="1:6" x14ac:dyDescent="0.25">
      <c r="A15">
        <f>'chart of account'!A13</f>
        <v>0</v>
      </c>
      <c r="B15" t="e">
        <f>VLOOKUP(A15,'chart of account'!A:B,2,FALSE)</f>
        <v>#N/A</v>
      </c>
      <c r="C15">
        <f>SUMIF('قيد افتتاحي و قيود اليومية'!E:E,'ميزانية مراجعة'!B16,'قيد افتتاحي و قيود اليومية'!F:F)</f>
        <v>0</v>
      </c>
      <c r="D15">
        <f>SUMIF('قيد افتتاحي و قيود اليومية'!E:E,'ميزانية مراجعة'!B16,'قيد افتتاحي و قيود اليومية'!G:G)</f>
        <v>0</v>
      </c>
    </row>
  </sheetData>
  <mergeCells count="2">
    <mergeCell ref="C4:D4"/>
    <mergeCell ref="E4:F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C69D4-73FA-487F-B6CC-C3940FE7F2D9}">
  <dimension ref="A2:G16"/>
  <sheetViews>
    <sheetView rightToLeft="1" workbookViewId="0">
      <selection activeCell="G9" sqref="G9"/>
    </sheetView>
  </sheetViews>
  <sheetFormatPr defaultRowHeight="15" x14ac:dyDescent="0.25"/>
  <sheetData>
    <row r="2" spans="1:7" x14ac:dyDescent="0.25">
      <c r="F2" s="4" t="b">
        <f>E3=F3</f>
        <v>1</v>
      </c>
      <c r="G2" s="4"/>
    </row>
    <row r="3" spans="1:7" x14ac:dyDescent="0.25">
      <c r="F3">
        <f>SUM(F6:F1300)</f>
        <v>0</v>
      </c>
      <c r="G3">
        <f>SUM(G6:G1300)</f>
        <v>0</v>
      </c>
    </row>
    <row r="4" spans="1:7" x14ac:dyDescent="0.25">
      <c r="A4" s="2"/>
      <c r="B4" s="2"/>
      <c r="C4" s="2"/>
      <c r="D4" s="2"/>
      <c r="E4" s="2"/>
      <c r="F4" s="5" t="s">
        <v>16</v>
      </c>
      <c r="G4" s="5"/>
    </row>
    <row r="5" spans="1:7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</row>
    <row r="6" spans="1:7" x14ac:dyDescent="0.25">
      <c r="D6">
        <v>13</v>
      </c>
      <c r="E6" t="str">
        <f>VLOOKUP('قيد افتتاحي و قيود اليومية'!D6,'chart of account'!A:B,2,FALSE)</f>
        <v>المدينون</v>
      </c>
    </row>
    <row r="7" spans="1:7" x14ac:dyDescent="0.25">
      <c r="E7" t="e">
        <f>VLOOKUP('قيد افتتاحي و قيود اليومية'!D7,'chart of account'!A:B,2,FALSE)</f>
        <v>#N/A</v>
      </c>
    </row>
    <row r="8" spans="1:7" x14ac:dyDescent="0.25">
      <c r="E8" t="e">
        <f>VLOOKUP('قيد افتتاحي و قيود اليومية'!D8,'chart of account'!A:B,2,FALSE)</f>
        <v>#N/A</v>
      </c>
    </row>
    <row r="9" spans="1:7" x14ac:dyDescent="0.25">
      <c r="D9">
        <v>12</v>
      </c>
      <c r="E9" t="str">
        <f>VLOOKUP('قيد افتتاحي و قيود اليومية'!D9,'chart of account'!A:B,2,FALSE)</f>
        <v>البنك</v>
      </c>
    </row>
    <row r="10" spans="1:7" x14ac:dyDescent="0.25">
      <c r="E10" t="e">
        <f>VLOOKUP('قيد افتتاحي و قيود اليومية'!D10,'chart of account'!A:B,2,FALSE)</f>
        <v>#N/A</v>
      </c>
    </row>
    <row r="11" spans="1:7" x14ac:dyDescent="0.25">
      <c r="D11">
        <v>11</v>
      </c>
      <c r="E11" t="str">
        <f>VLOOKUP('قيد افتتاحي و قيود اليومية'!D11,'chart of account'!A:B,2,FALSE)</f>
        <v>صندوق</v>
      </c>
    </row>
    <row r="12" spans="1:7" x14ac:dyDescent="0.25">
      <c r="E12" t="e">
        <f>VLOOKUP('قيد افتتاحي و قيود اليومية'!D12,'chart of account'!A:B,2,FALSE)</f>
        <v>#N/A</v>
      </c>
    </row>
    <row r="13" spans="1:7" x14ac:dyDescent="0.25">
      <c r="E13" t="e">
        <f>VLOOKUP('قيد افتتاحي و قيود اليومية'!D13,'chart of account'!A:B,2,FALSE)</f>
        <v>#N/A</v>
      </c>
    </row>
    <row r="14" spans="1:7" x14ac:dyDescent="0.25">
      <c r="E14" t="e">
        <f>VLOOKUP('قيد افتتاحي و قيود اليومية'!D14,'chart of account'!A:B,2,FALSE)</f>
        <v>#N/A</v>
      </c>
    </row>
    <row r="15" spans="1:7" x14ac:dyDescent="0.25">
      <c r="E15" t="e">
        <f>VLOOKUP('قيد افتتاحي و قيود اليومية'!D15,'chart of account'!A:B,2,FALSE)</f>
        <v>#N/A</v>
      </c>
    </row>
    <row r="16" spans="1:7" x14ac:dyDescent="0.25">
      <c r="E16" t="e">
        <f>VLOOKUP('قيد افتتاحي و قيود اليومية'!D16,'chart of account'!A:B,2,FALSE)</f>
        <v>#N/A</v>
      </c>
    </row>
  </sheetData>
  <mergeCells count="2">
    <mergeCell ref="F4:G4"/>
    <mergeCell ref="F2: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home</vt:lpstr>
      <vt:lpstr>chart of account</vt:lpstr>
      <vt:lpstr>دفتر استاذ</vt:lpstr>
      <vt:lpstr>ميزانية مراجعة</vt:lpstr>
      <vt:lpstr>قيد افتتاحي و قيود اليومية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a13196</dc:creator>
  <cp:lastModifiedBy>a13196</cp:lastModifiedBy>
  <dcterms:created xsi:type="dcterms:W3CDTF">2026-01-18T11:15:06Z</dcterms:created>
  <dcterms:modified xsi:type="dcterms:W3CDTF">2026-01-18T13:44:03Z</dcterms:modified>
</cp:coreProperties>
</file>